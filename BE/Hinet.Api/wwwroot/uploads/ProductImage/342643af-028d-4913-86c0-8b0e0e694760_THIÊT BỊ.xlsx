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7\Downloads\"/>
    </mc:Choice>
  </mc:AlternateContent>
  <xr:revisionPtr revIDLastSave="0" documentId="13_ncr:1_{A01788E2-2482-4444-AD02-965C22A448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IEM TRA " sheetId="1" r:id="rId1"/>
    <sheet name="THO XU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5" i="2"/>
</calcChain>
</file>

<file path=xl/sharedStrings.xml><?xml version="1.0" encoding="utf-8"?>
<sst xmlns="http://schemas.openxmlformats.org/spreadsheetml/2006/main" count="1032" uniqueCount="168">
  <si>
    <t>Quản lý thiết bị viễn thông</t>
  </si>
  <si>
    <t>STT</t>
  </si>
  <si>
    <t>Đơn vị sở hữu thiết bị</t>
  </si>
  <si>
    <t>ĐIỂM LẮP ĐẶT</t>
  </si>
  <si>
    <t>Tọa độ</t>
  </si>
  <si>
    <t xml:space="preserve">Đất công trình viễn thông </t>
  </si>
  <si>
    <t xml:space="preserve">Loại thiết bị </t>
  </si>
  <si>
    <t xml:space="preserve"> Công nghệ</t>
  </si>
  <si>
    <t>Dung lượng</t>
  </si>
  <si>
    <t>Host, vệ tinh</t>
  </si>
  <si>
    <t xml:space="preserve"> Ghi Chú (đất của doanh nghiệp, đất đi thuê, đất sử dụng chung với đơn vị khác)</t>
  </si>
  <si>
    <t>Huyện</t>
  </si>
  <si>
    <t>Xã</t>
  </si>
  <si>
    <t>Địa chỉ</t>
  </si>
  <si>
    <t>Vĩ độ</t>
  </si>
  <si>
    <t>Kinh độ</t>
  </si>
  <si>
    <t>Diện tích (m2)</t>
  </si>
  <si>
    <t>Quyền sử dụng đất</t>
  </si>
  <si>
    <t>Lắp đặt</t>
  </si>
  <si>
    <t>Sử dụng</t>
  </si>
  <si>
    <t>CSHT_THA_00012</t>
  </si>
  <si>
    <t>XUAN-LAM-TXN_THA</t>
  </si>
  <si>
    <t>Thọ Xuân</t>
  </si>
  <si>
    <t>Thị trấn Lam Sơn</t>
  </si>
  <si>
    <t>Khu phố Phúc Lâm, thị trấn Lam Sơn, huyện Thọ Xuân, tỉnh Thanh Hóa</t>
  </si>
  <si>
    <t>AON</t>
  </si>
  <si>
    <t>CSHT_THA_00418</t>
  </si>
  <si>
    <t>MUC-SON-TXN_THA</t>
  </si>
  <si>
    <t>Trạm viễn thông Mục Sơn_khu 3, thị trấn Lam Sơn, huyện Thọ Xuân, tỉnh Thanh Hóa</t>
  </si>
  <si>
    <t>GPON</t>
  </si>
  <si>
    <t>CSHT_THA_00015</t>
  </si>
  <si>
    <t>SAO-VANG-TXN_THA</t>
  </si>
  <si>
    <t>Thị trấn Sao Vàng</t>
  </si>
  <si>
    <t>Khu phố 3, thị trấn Sao Vàng, huyện Thọ Xuân, tỉnh Thanh Hóa</t>
  </si>
  <si>
    <t>CSHT_THA_00238</t>
  </si>
  <si>
    <t>XUAN-THANG-TXN_THA</t>
  </si>
  <si>
    <t>Thôn 3, thị trấn Sao Vàng, huyện Thọ Xuân, tỉnh Thanh Hóa</t>
  </si>
  <si>
    <t>CSHT_THA_01107</t>
  </si>
  <si>
    <t>THO-XUAN2-TXN_THA</t>
  </si>
  <si>
    <t>Thị trấn Thọ Xuân</t>
  </si>
  <si>
    <t>Khu phố 2, thị trấn Thọ Xuân, huyện Thọ Xuân, tỉnh Thanh Hóa</t>
  </si>
  <si>
    <t>CSHT_THA_00443</t>
  </si>
  <si>
    <t>THO-XUAN-TXN_THA</t>
  </si>
  <si>
    <t>Khu 5, thị trấn Thọ Xuân, huyện Thọ Xuân, tỉnh Thanh Hóa</t>
  </si>
  <si>
    <t>CSHT_THA_00060</t>
  </si>
  <si>
    <t>NAM-GIANG-TXN_THA</t>
  </si>
  <si>
    <t>Xã Nam Giang</t>
  </si>
  <si>
    <t>Phố Neo, xã Nam Giang, huyện Thọ Xuân, tỉnh Thanh Hóa</t>
  </si>
  <si>
    <t>CSHT_THA_00871</t>
  </si>
  <si>
    <t>PHU-YEN-TXN_THA</t>
  </si>
  <si>
    <t>Xã Phú Xuân</t>
  </si>
  <si>
    <t>Thôn 5, xã Phú Xuân, huyện Thọ Xuân, tỉnh Thanh Hóa</t>
  </si>
  <si>
    <t>CSHT_THA_00288</t>
  </si>
  <si>
    <t>QUANG-PHU-TXN_THA</t>
  </si>
  <si>
    <t>Xã Quảng Phú</t>
  </si>
  <si>
    <t>Thôn 6, xã Quảng Phú, huyện Thọ Xuân, tỉnh Thanh Hóa</t>
  </si>
  <si>
    <t>CSHT_THA_00133</t>
  </si>
  <si>
    <t>TU-TRU-TXN_THA</t>
  </si>
  <si>
    <t>Xã Thọ Diên</t>
  </si>
  <si>
    <t>Thôn Hải Trạch 1, xã Thọ Diên, huyện Thọ Xuân, tỉnh Thanh Hóa</t>
  </si>
  <si>
    <t>CSHT_THA_00269</t>
  </si>
  <si>
    <t>THO-HAI-TXN_THA</t>
  </si>
  <si>
    <t>Xã Thọ Hải</t>
  </si>
  <si>
    <t>Thôn Tân Thành, xã Thọ Hải, huyện Thọ Xuân, tỉnh Thanh Hóa</t>
  </si>
  <si>
    <t>CSHT_THA_00628</t>
  </si>
  <si>
    <t>THO-LAM-TXN_THA</t>
  </si>
  <si>
    <t>Xã Thọ Lâm</t>
  </si>
  <si>
    <t>Thôn 2, xã Thọ Lâm, Huyện Thọ Xuân, tỉnh Thanh Hóa</t>
  </si>
  <si>
    <t>CSHT_THA_00773</t>
  </si>
  <si>
    <t>THO-LOC-TXN_THA</t>
  </si>
  <si>
    <t>Xã Thọ Lộc</t>
  </si>
  <si>
    <t>Trạm Viễn thông Thọ Lộc_thôn 4, xã Thọ Lộc, huyện Thọ Xuân, tỉnh Thanh Hóa</t>
  </si>
  <si>
    <t>CSHT_THA_00680</t>
  </si>
  <si>
    <t>THO-XUONG-TXN_THA</t>
  </si>
  <si>
    <t>Xã Thọ Xương</t>
  </si>
  <si>
    <t>thôn Hữu Lễ 4, xã Thọ Xương, huyện Thọ Xuân, tỉnh Thanh Hóa</t>
  </si>
  <si>
    <t>CSHT_THA_00417</t>
  </si>
  <si>
    <t>MUC-SON2-TXN_THA</t>
  </si>
  <si>
    <t>Thôn 9, Xã Thọ Xương, Huyện Thọ Xuân, tỉnh Thanh Hóa</t>
  </si>
  <si>
    <t>CSHT_THA_00268</t>
  </si>
  <si>
    <t>XUAN-CHAU-TXN_THA</t>
  </si>
  <si>
    <t>Xã Thuận Minh</t>
  </si>
  <si>
    <t>Xóm 7, xã Thuận Minh, huyện Thọ Xuân, tỉnh Thanh Hóa</t>
  </si>
  <si>
    <t>CSHT_THA_00321</t>
  </si>
  <si>
    <t>THO-MINH-TXN_THA</t>
  </si>
  <si>
    <t>Thôn 2 Yên Lược, xã Thuận Minh, huyện Thọ Xuân, tỉnh Thanh Hóa</t>
  </si>
  <si>
    <t>CSHT_THA_00537</t>
  </si>
  <si>
    <t>XUAN-VINH-TXN_THA</t>
  </si>
  <si>
    <t>Xã Trường Xuân</t>
  </si>
  <si>
    <t>Thôn Phú Hậu 1, xã Xuân Trường, huyện Thọ Xuân, tỉnh Thanh Hóa</t>
  </si>
  <si>
    <t>CSHT_THA_00046</t>
  </si>
  <si>
    <t>XUAN-BAI-TXN_THA</t>
  </si>
  <si>
    <t>Xã Xuân Bái</t>
  </si>
  <si>
    <t>Thôn Minh Thành 1, xã Xuân Bái, huyện Thọ Xuân, tỉnh Thanh Hóa</t>
  </si>
  <si>
    <t>CSHT_THA_00538</t>
  </si>
  <si>
    <t>XUAN-HOA-TXN_THA</t>
  </si>
  <si>
    <t>Xã Xuân Hòa</t>
  </si>
  <si>
    <t>Thôn Tỉnh Thôn 2, xã Xuân Hòa, huyện Thọ Xuân, tỉnh Thanh Hóa</t>
  </si>
  <si>
    <t>CSHT_THA_00361</t>
  </si>
  <si>
    <t>XUAN-THANH-TXN_THA</t>
  </si>
  <si>
    <t>Xã Xuân Hồng</t>
  </si>
  <si>
    <t>Thôn Vực Thượng 2, xã Xuân Hồng, huyện Thọ Xuân, tỉnh Thanh Hóa</t>
  </si>
  <si>
    <t>CSHT_THA_00643</t>
  </si>
  <si>
    <t>THO-NGUYEN-TXN_THA</t>
  </si>
  <si>
    <t>Thôn Văn Lộ, xã Xuân Hồng, huyện Thọ Xuân, tỉnh Thanh Hóa</t>
  </si>
  <si>
    <t>CSHT_THA_00128</t>
  </si>
  <si>
    <t>XUAN-HUNG-TXN_THA</t>
  </si>
  <si>
    <t>Xã Xuân Hưng</t>
  </si>
  <si>
    <t>Thôn 2, xã Xuân Hưng, huyện Thọ Xuân, tỉnh Thanh Hóa</t>
  </si>
  <si>
    <t>CSHT_THA_00363</t>
  </si>
  <si>
    <t>XUAN-LAI-TXN_THA</t>
  </si>
  <si>
    <t>Xã Xuân Lai</t>
  </si>
  <si>
    <t>Thôn 5, xã Xuân Lai, huyện Thọ Xuân, tỉnh Thanh Hóa</t>
  </si>
  <si>
    <t>CSHT_THA_00588</t>
  </si>
  <si>
    <t>XUAN-LAP-TXN_THA</t>
  </si>
  <si>
    <t>Xã Xuân Lập</t>
  </si>
  <si>
    <t>thôn Vũ Hạ, xã Xuân Lập, huyện Thọ Xuân, tỉnh Thanh Hóa</t>
  </si>
  <si>
    <t>CSHT_THA_00215</t>
  </si>
  <si>
    <t>XUAN-PHONG-TXN_THA</t>
  </si>
  <si>
    <t>Xã Xuân Phong</t>
  </si>
  <si>
    <t>Thôn 2, xã Xuân Phong, huyện Thọ Xuân, tỉnh Thanh Hóa</t>
  </si>
  <si>
    <t>CSHT_THA_00147</t>
  </si>
  <si>
    <t>XUAN-PHU-TXN_THA</t>
  </si>
  <si>
    <t>Xã Xuân Phú</t>
  </si>
  <si>
    <t>Thôn Đồng Luồng, xã Xuân Phú, huyện Thọ Xuân, tỉnh Thanh Hóa</t>
  </si>
  <si>
    <t>CSHT_THA_00101</t>
  </si>
  <si>
    <t>XUAN-SON3-TXN_THA</t>
  </si>
  <si>
    <t>Xã Xuân Sinh</t>
  </si>
  <si>
    <t>Thôn 15, xã Xuân Sinh, huyện Thọ Xuân, tỉnh Thanh Hóa</t>
  </si>
  <si>
    <t>CSHT_THA_00603</t>
  </si>
  <si>
    <t>XUAN-SON-TXN_THA</t>
  </si>
  <si>
    <t>Thôn Bột Thượng, xã Xuân Sinh, huyện Thọ Xuân, tỉnh Thanh Hóa</t>
  </si>
  <si>
    <t>CSHT_THA_00605</t>
  </si>
  <si>
    <t>XUAN-QUANG-TXN_THA</t>
  </si>
  <si>
    <t>Thôn 2, xã Xuân Sinh, huyện Thọ Xuân, tỉnh Thanh Hóa</t>
  </si>
  <si>
    <t>CSHT_THA_01213</t>
  </si>
  <si>
    <t>XUAN-SON2-TXN_THA</t>
  </si>
  <si>
    <t>Thôn Thành Sơn, xã Xuân Sinh, huyện Thọ Xuân, tỉnh Thanh Hóa</t>
  </si>
  <si>
    <t>CSHT_THA_00126</t>
  </si>
  <si>
    <t>XUAN-THIEN-TXN_THA</t>
  </si>
  <si>
    <t>Xã Xuân Thiên</t>
  </si>
  <si>
    <t>Thôn Hòa Bình, xã Xuân Thiên, huyện Thọ Xuân, tỉnh Thanh Hóa</t>
  </si>
  <si>
    <t>CSHT_THA_00118</t>
  </si>
  <si>
    <t>XUAN-TIN-TXN_THA</t>
  </si>
  <si>
    <t>Xã Xuân Tín</t>
  </si>
  <si>
    <t>Xóm 21, xã Xuân Tín, huyện Thọ Xuân, tỉnh Thanh Hóa</t>
  </si>
  <si>
    <t>CSHT_THA_00768</t>
  </si>
  <si>
    <t>XUAN-TRUONG-TXN_THA</t>
  </si>
  <si>
    <t>Xã Xuân Trường</t>
  </si>
  <si>
    <t>Thôn 3, xã Xuân Trường, huyện Thọ Xuân, tỉnh Thanh Hóa</t>
  </si>
  <si>
    <t>TT</t>
  </si>
  <si>
    <t>Mã trạm/ Tên trạm</t>
  </si>
  <si>
    <t>Vị trí</t>
  </si>
  <si>
    <t>Tọa độ
(lấy theo tọa độ WGS-84)</t>
  </si>
  <si>
    <t>Thiết bị truy nhập quang</t>
  </si>
  <si>
    <t>Ghi chú</t>
  </si>
  <si>
    <t>Tên huyện</t>
  </si>
  <si>
    <t>Tên xã</t>
  </si>
  <si>
    <t>Địa chỉ lắp đặt</t>
  </si>
  <si>
    <t>Công nghệ</t>
  </si>
  <si>
    <t xml:space="preserve">Lắp đặt </t>
  </si>
  <si>
    <t>Sử dụng(%)</t>
  </si>
  <si>
    <t>Truy nhập quang</t>
  </si>
  <si>
    <t>VNPT Thanh Hóa</t>
  </si>
  <si>
    <t>Doanh nghiệp</t>
  </si>
  <si>
    <t>Đất đi thuê</t>
  </si>
  <si>
    <t>đất sử dụng chung với đơn vị khác</t>
  </si>
  <si>
    <t>Mã cơ sở hạ tầng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</si>
</sst>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3" fontId="2" fillId="0" borderId="7" xfId="1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164" fontId="2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0" fontId="7" fillId="0" borderId="7" xfId="2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0" xfId="0" applyFont="1"/>
    <xf numFmtId="3" fontId="5" fillId="2" borderId="1" xfId="1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3">
    <cellStyle name="0,0_x000d__x000a_NA_x000d__x000a_" xfId="1" xr:uid="{00000000-0005-0000-0000-000000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196F34-BDDD-4D77-A205-B45F2AE3015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AA271F-1153-48F8-9940-23AE6D11CC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063318-9C12-415B-BE73-B7481AB0614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9412C3-8062-4252-9A34-B23A386BD9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94713C-965A-4260-A0C2-7D908FF5D7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4BDBB7-F03C-40E8-AC2E-020BA96A53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0BBC8F-ABAC-4D8B-8D50-010D9F74FB9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B73E60-3C12-40EE-8D0D-373F052AF5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375EBF-24F0-4775-A0F2-6DF4AA1B2D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D43AAA-B73E-45E2-89B9-1089CBBB416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289602-2201-48B5-8CB5-37961B8B2E7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6EEEC6-21BC-478B-ACCA-D09AA57D0F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D0580E-7B41-47FC-A19B-69F19379144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700127-B177-4521-8F25-17EED918A51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EE1D64-87DF-47F7-8DA5-C689231FC7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2C071F-A265-42EC-8963-6F62C175143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0A6360-CA0C-4C7D-93D9-7ED62E6ACEB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7AEE8A-E25A-48BA-AC2C-51BB1C29850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21EBC8-5F85-4C88-8B24-B64CEF6803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B01965-D1E7-4D1C-8AC6-E9AD4DBFC4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0824C8-37F0-4E86-80DD-3BC1EBA4CC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09CB7E-036C-4842-A001-0CE315D2B7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C71B9F-6A4B-4168-8E28-67FE807F50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DE2C0B-4968-4911-9D24-86EF752857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87BC59-7649-40B8-8E3C-930B55F36EC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E3FF33-3584-4875-B99F-003B582A95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CEC4D1-5A64-4204-8ECD-8203CC6AB03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61C432-2D5B-43FC-99C1-E40C3E7080D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F68B2C-071F-4C2A-BB84-29C7E9A3A43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E5BE63-B848-4045-9913-66738E5012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876FE9-5BF0-4201-99F9-0C0B6F8B75B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71D49F-F485-4897-8F90-C31A06E5A44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DB617E-F36B-4465-820B-E0EFC3B0E51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FD25BD-668C-42B7-B76B-BBE49884ED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209507-4EDA-4D25-939A-B12AEE2BBB3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DCB6BF-F454-479A-BB3C-824BB4F1BD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082451-E145-4341-8C84-B469CE0492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3A568-8038-475C-9D10-6E3CFF5A34A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A1E0A5-FF3D-4261-BDB0-74EE47C2C9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FCE507-B9B5-4864-ADEF-4A601BCBAE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648FA2-D65B-4970-8FE7-4D9D370350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B008FC-475A-4B97-9270-C0D9B46B33C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75A72F-4830-4B68-A957-B4D17EFE02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4B79B5-22D5-4C15-AB88-45FAC5C7B3A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98CF55-BA55-4A9D-8BB7-6AC276F55D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7DA2AC-7A8C-4857-BE2F-CCA3A39DE4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882914-BE96-423C-B81D-B1CB0BF5695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00BCF7-F700-42A7-A138-50A1E0EC01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AAC975-F551-4E2F-BD08-1A04033C9B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83D4BA-CBCC-4EF0-ABB0-C4BC8BD69B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3174C4-1B95-4659-B30F-5ACC87DD291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0FE5E0-A0D2-45D7-8E34-261076C7D4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A5D121-97F0-4EE8-A03F-7EA479BCD88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70F3BE-A6FC-4AE6-98E9-8C13E86EB2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D3DC8C-51D4-44CD-BB7B-AF77B2EB2B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DC758F-1A09-4472-95FB-793A1C77993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55623D-20C1-4AEF-877C-D1F3A3CDBA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44F1DE-26AD-4DCB-B59C-E11AF6691E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6E7D9D-71E7-474E-A3FF-2629903CB7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2CFD35-0712-443E-9D87-092DCDB27D7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C8A48E-AF2F-4F71-B9C0-F210834D086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933D74-6FCA-4507-9B54-3CD74BE3E2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FC0CFB-268F-4AAA-803A-4B9E81A662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B753E4-852D-4409-8149-67B84B9B655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94737A-7269-49EB-A148-2C2F803F3C8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B90C93-0729-417B-9FD2-6073A1595E7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D1BCFA-CAAF-40D9-9442-6519EA4CDBA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D5A2DD-719F-4077-81EE-3156EE8366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0425D7-64C0-4415-B270-612BEAF573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E5C5F2-A228-41BE-A6E5-DEC71A0B8E5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A3BDC3-F718-4396-A457-35F5781D864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13F926-163A-4DA0-8870-C3B70AE1D5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A80855-ACBB-4189-8369-3B516B48C6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1CA61B-0C49-45AF-BCC7-0280CBA22B6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E2FB54-31FA-429B-8A02-C1071C1FEF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019653-CB93-4779-9B97-F13EDEF509C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47EE5C-0150-4EDF-AE4E-9C4000CFA9B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1CEB3E-D01F-436B-B019-BC4113268D6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D2C310-053D-43D5-9CB0-56B2E7D299C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905E03-B54F-41CC-ABDF-4BA60BF185B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FA7E62-0074-4B96-B39B-8B7ED3A9FE7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53D63B-614C-4D35-B4B7-372E380BA4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B57A12-0621-49ED-AADD-A8BB9BA2DC5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406B65-F3B0-49E0-AA02-8DCC231C6B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03D4D2-07D0-4175-9B66-DD605B5423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B7C059-37E5-4E6A-93C8-4BBAF502CAF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2169D2-41E1-426C-BFA5-779660DDD6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2F122F-28C2-4FC6-BB98-172DE3350C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BB4CA2-8FE9-4FD8-B507-9946521F3D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D6BEA2-C69B-4F0C-8983-CF641AF69B9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6E96B4-29C7-4B95-A031-5E68BC376BD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141A1E-B66B-49D7-806D-00486197E61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7E4061-29E9-428E-8638-7C264016591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1BFE03-1313-4AE1-9BE5-6DC636FFF8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6AA2ED-34A4-4440-AFFD-9921B1D4405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DAF6EC-34F5-4C71-A0D0-F835B745CD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10D7A3-7903-45F1-806E-DE5391E9BB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6C8A1E-D961-47C3-897F-1AE5DBA8D60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6C81C7-C200-4A9C-AAB4-3B3D2C4B7A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0E3C00-C783-4814-A533-E31DFC0F0F3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7915EE-3199-4E4A-B158-DAF790DCE8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A0E588-03A1-4855-B943-0DA92C5004B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BD5CE3-2D56-441A-9BD7-9D9A3B8915B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4AB86A-E40D-41AF-B2F5-0E33D7622AC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FB4AF9-6EB0-4904-AC29-2A4EA16990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3C95A5-45B1-43C1-BE95-3FE9EB64568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94D2C3-5499-4B58-AC38-77DE2E250F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AB80E0-739D-4148-B5E2-D9B4BC02268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9F34BC-F4F9-4AEF-9CD0-51AC608EC7F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0928A6-45BB-4FEF-A8AD-B2D7ADE25E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7A386B-3FDC-47A4-8988-CA5BF7C6322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B36376-4F36-4D83-9AFE-836EAEAA26A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88830B-348B-4BFE-B2B8-272E48CD20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521BC-F45A-4E29-A46C-8E45BBF700F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A325C3-AC55-4673-A376-9056D24EEDE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1F3C32-8A31-4330-B82F-5E4C39DA703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6726EA-981A-47AE-8A97-CEFAB80F6A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F772E1-F7A5-4264-BCFA-3EA29D60BCC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4B9F6F-9472-4AA2-95F4-9F265DA5C8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B84B98-7313-4501-BD9A-36FE28B9ED4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2DD0B6-6027-4968-ACE5-E79DEE84689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5D9B7B-1D07-4899-B8EC-7C6D2A01B5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3AC360-6F08-4499-80F9-81F5046DB82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919085-98C1-4445-8FB2-AC627F8E41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65D568-C5CD-41E8-81AC-E8DEAE7E4A3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3E8345-34D9-418B-94CE-2CAD10D1120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D7B902-5C07-4B8A-8E63-A2A99395AAB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F9B2BE-B1F4-40D5-98F7-642098CA5E9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4D0080-79DA-4BE5-920B-FE937DB574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F5A12F-E54E-4863-BF6C-1FE0F0DDAE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23C14C-9B5D-4212-81BA-53693C67DC8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194487-8D7D-414B-82B0-C1D6F38D81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26E11F-7DA8-4ACE-BFD7-0E98CDC2B2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46B2E8-8ABC-4892-99D8-21F5C3C47A6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81697A-4650-4F30-BF16-07D49F5F36A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F3273C-4E3D-4B5D-BFE3-0F406BAF5DF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B96C04-DC88-42A3-B111-23C1EE1495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750167-138E-4838-8E61-939E0DFDDAA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0F9B24-3ABF-4DBD-9880-330584D24D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E9D1DE-731C-44D7-936D-C08F872569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351CB5-5DCC-416B-845B-A2F186F1687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BCC9F9-4D58-4DD8-B077-C41E2DAC0CC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D1744F-02F2-41BA-948E-468BF01F26E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C22ACE-8916-48C3-B636-CCA71C903C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481A22-1CCC-470A-9C7C-ACD77EA00F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7E0DA0-5D5E-4DC2-948A-DD4AD786399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D0A849-372C-4C31-A8C7-964E9F592B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303E1C-26F1-47B3-98E2-7E4933C366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EE8741-A1F7-46AF-A054-DC436BEDB6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CE3AD8-04E6-43FA-BDAB-2426A8B2AB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FA19DC-F2D0-4EBE-B26B-2181D8445A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5461A2-3314-45DA-A7FE-CD713AA0929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E78BB6-62ED-4735-A521-D49E365D45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E70629-9485-47E0-80E4-ABB2B25BD3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5AC100-7DE2-440D-A514-17B458B3C2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010A3C-0894-48D7-B72F-137C3654A2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875E36-1548-48A9-90E2-38B2A96E72A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62CAE0-BF69-4B65-AC3F-C0519F95CF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CAADFF-8334-45D4-84FC-CE099FE408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FFB001-19A4-4B8A-9105-0888DFF4C0E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AF2E88-81B6-4C1D-BF63-59DA73677C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5DA2A1-491A-4683-9005-58237D5F77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A1D567-D56D-4AFA-AF1B-20623EE9A2E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213A95-4974-4962-9AD1-9413D3E84B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3703C8-F725-4457-8AA1-13D1ECA213A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180785-94B5-4775-8891-7EFC4219BB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0BB796-87D2-41ED-94E3-5D289F6609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38568C-EA8B-4289-BF9D-98318F4133D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ACDC16-C866-475A-A55E-766C5BD3E9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FAE036-B1FF-4514-B9AB-63FC2641C25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B614B9-00E8-4A00-9A36-A7F84E3E76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8DCBD1-D31C-4FC8-814A-EF97602D4A8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640A9A-A8D9-475B-88B3-A3037188A8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4C645-F17D-42B2-9BD4-EBD287D1173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AC1DAB-E7C7-45BE-B205-84E0C7ACF48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8E327E-0DA4-43EF-88CC-4AF445E0AD9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8871AD-1A8C-42DA-BE16-9C13A72410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EDDDFC-9B90-402C-83A8-67E08A1E15E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BE6196-048E-4660-983A-A31A64118A5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F17C9F-2056-4787-9D98-ECB6F146D6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11FFD1-5AD9-42B5-9F17-4501A1ECCF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FB9096-32A4-4BA3-8A1B-B769571EFC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071D2C-A10B-422A-9260-43B581C5F4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5653DB-9202-4A66-9105-D90C786002C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1B824B-AC2D-4FBE-9EA0-CC3361C1A2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4F8BFE-22FB-412A-9AB5-356B189EA3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E18A8B-E29F-4A93-8195-93B91A1914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8213C1-6E09-47E8-A581-B314640CE27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8CD8EE-EE11-46E7-BEC3-83FE8824F9F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9337F6-1BFD-41DA-BBC0-4862183014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97B94E-7EDF-4543-8B13-478ECDD53C8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3BA392-D899-47A8-AEA6-EFA603C570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7D8C05-CD21-48E0-B052-E30E9C8E3F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0F5750-6CAF-435B-9DED-EBD971CAE29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1A2CD7-96AD-4EE8-8711-1670B9FC126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EA0F7C-E843-4209-8322-EEC518680D3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605F6F-881C-4AB9-8363-A03FB17AF3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410384-93EF-42D2-8600-30F719FCD0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241429-0997-4DB5-9AA4-FC6F892FF4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C568FC-EF5B-420E-82F3-C0FC59B9431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05DFEE-3829-46F1-A8EB-C56E5BFC5E8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11C10E-C7CC-4F94-8192-5CF6E00FF8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0FFA89-09F5-4E9C-9C1E-A5C8EE2497E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CDD890-2D2A-4328-9D81-D0A19F5F676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942855-4767-4B38-9EF8-3D570BB2C42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CA067C-1D8C-4065-A445-4E25B1A5C70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B61234-FF48-4B7C-BFA8-EA71D22979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CF5816-7283-4C29-B2C6-63B427101FF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9F27E3-1CA9-4FE6-8672-9A7A2322E9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5AB009-2BAB-49A2-B5EA-F1C7D0BEF8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3F8445-B0CC-4447-BB57-ABE9F9C4916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68D656-4737-4FB2-B5DF-A8F3A6ADFD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D77A8F-1AC6-492C-976C-8B1DB72E70B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00C659-6C18-46CA-98D9-60BFBF55307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7F4AE1-FA88-4129-BBB7-4D48A576ED6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EBF4BA-E1B8-4720-9AA8-C1237DDB5C2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1F8FB7-7FDB-46FB-82A0-1F86F172664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C0DC77-376B-4287-8659-5C6175928B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94B714-B7DB-4705-AFB0-71AF5423C7C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96D012-B4B3-440E-A380-0050FF9B69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239E74-2BA6-4324-8637-1791B3FA965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72DDEB-0A3F-4E4E-A27C-DDA15065348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A16738-8983-4903-B0A8-1D80D7C69FA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61F308-6D12-46F6-A459-4A12C9F1592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8E6E9E-4130-4A2E-A352-7EC1CF24F2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B92F6-CE2B-4C65-B88F-C9C895FAFD1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552E09-C334-4775-B41A-6B9A2E6D40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A523A9-75A7-4714-BE5B-D5E3B19930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348F79-CFFB-4C54-B2C2-1A73B19830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3D51E4-DDDE-4CFA-81C0-92F8CB095D2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4AE896-95F0-44D2-B299-C2FD3D1399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55F280-4309-4383-AFA6-A95D84C7B8E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1AB972-003F-4816-B967-11F515E623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70BB51-F28F-4774-B6DE-FD8DF3992D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3518A6-9A8D-4508-9782-04A40EF715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1DFE32-8277-410C-9039-D76AC8E419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E71B76-1653-4113-B69A-096DC02D3A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6000C5-9846-45E1-96BD-C0DA12A2574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7AD8FA-63E6-4370-934A-592B1C4E1C8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552248-AA8C-4C83-B09E-3A20F6BE546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C07E9-F93A-49E9-AFD4-9E01151050B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8431F8-4DF7-48F1-A9C6-D8F076A435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61C4FA-7AE4-482D-AD96-118C1A6A68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A6BE2F-2A37-42A4-8DF1-A5B346E8E77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870F5B-DA22-4B14-AA56-61A6ECB29B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7F2803-D833-4039-8D65-B0D02E741EF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B1C56F-BFC1-45CF-986F-ED5CFA8552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AF3924-5D84-4DBF-B24B-9866AF4EB01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D62DD9-8036-4655-9A57-5797CFE7FBC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9C5279-6ADB-42EA-AE75-449DB7E383E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059D77-C738-4437-A5F0-F1BB967B7EC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0F9683-9053-4C22-954E-C3344CD2AD4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FB98F7-AC8D-44B1-B61A-48F150D7335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1908E9-AE87-48D8-9A00-9FC24093644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1F91C1-C227-4699-B38F-D0B1AE7E83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AFC882-FCE4-4A88-9BB5-B0AA2136EAA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78032C-8E6B-4975-AAA0-EB7E82F19B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597F44-71FE-4DE4-9EFE-5753E27EC5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3BA5B-6500-4A66-80D5-FDBB5FF9E5A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FF78DB-D2DC-4D08-9C9B-3A37090906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D9BBC3-F88B-48B6-8786-7A5C6ABC2E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7D4410-99BA-41F8-918A-EFEC3CC3CB0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BD3B84-60CB-4974-A7CD-13B77867C66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B5E886-700C-4B49-99CD-D59AFD6456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FDA216-E362-4257-9912-1CC8A4DC40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AF1F9C-0D82-4CB4-88CB-3C31E7DE579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8EEEA1-9B86-4294-A097-325727D806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7AD83D-92C8-4298-934B-5602B7075B4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454303-0C16-42ED-9C26-184A7C6631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D5E154-ECC6-4188-99E9-433FB16024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DA8049-46E4-494E-9E0D-9026FF0B8A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37558B-A814-4EA8-8524-6CAB2F4DB03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1378DB-FB38-4F05-9763-C89FD6FD4D6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33816D-F78E-4970-8F7A-DAB4D18BF8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41B37D-C6CB-4D65-B9A8-10B7D7C45A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302118-C865-4C81-908F-1C0B5530E47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8DCC4C-F12B-4A81-B895-4A836DCC87B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00DCD5-4DAD-4A67-B2D9-DF1696E8D0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825C11-325F-4AB3-8F00-544B76350EB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002C06-4946-4216-B6B2-DBF72A8EBEE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E46646-50BA-4A6E-AAEF-3E34B90AF2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3CAC24-BEAA-4CC8-BCB0-15549B9889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35CC15-E417-4B8F-8652-B2866F434EE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2C35FB-C447-4133-827F-B3F2B756DDD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BE9FA0-BE0D-4A44-90D6-F9C2C53AEB8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3671E3-0C10-4CCF-9A03-612E01DB3B4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3D08B0-8FB9-4AD0-9480-5C1A2EEFE12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584D69-011A-4105-B15C-8F0B0081D4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3034F6-A3D8-4C9F-B6CA-C87267E84B3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717A5E-1CCD-4D42-ACE1-D6FBFE7F21C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C8CB53-4A82-4328-A117-819EA86334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FEEAA1-3A49-490E-A6CD-191F236183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E913F3-D7A7-493E-A497-73919004696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657258-A370-4503-A30E-5301284DA4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2F5EBD-553E-4179-822E-BAA76D141E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217E42-88E1-4915-9B26-3A452E92AA6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DB0922-85B3-4EFA-A9C1-F2280801386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CB5F4E-85C5-4B72-ACA6-7133694872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D7A762-0BF7-4E2A-9854-273C2CAACAE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1A4FB0-D9C5-4C54-9148-708A606D48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938294-6D7E-4E15-9430-7818B58F7B7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FB2770-EF4E-4F3E-829B-3B2BF6E3F3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CCEF8B-B8FD-4256-82C8-ED511ECA87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D0AEB8-17D6-4B07-92E8-E8C8F79A45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DF547A-4A7B-47CB-99A4-41866707AE9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A9B631-11D1-4301-B8B1-A5E2D697EA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9C5090-8AEB-48D3-B047-63388615532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1D0B89-81D5-451C-B7A9-25BD2C650C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913E37-E00E-48F2-98F9-DF58D3BD70C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AC51AB-1E0B-40B4-AB7F-492EE569A1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F4F809-642F-4554-8F1B-9B4932DCF7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278F75-4462-4B0F-855E-321A4AAAB1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CE5283-EF35-440F-A85E-321FEC326B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821B9B-548E-42A2-B880-093B390B37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1FD248-9BCE-40CE-A897-74E6D7EEC1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AC818A-E30F-43ED-B2CF-E820B9B79A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958855-F5C1-4103-B975-952D60D932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D8D9DA-F4CE-4788-9817-11D78BC49DD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A66276-DC1D-43F1-A737-774EA34CD6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B7CFF5-54F4-4199-9BE9-29AE576328C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A28D88-5A4D-4F46-A064-B063432BBE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DA74DA-03B4-4C05-9697-9BA67E0966C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DC74A0-319E-4FF2-B4D0-77CD082C13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585CD1-6316-4B59-95E8-5D48563A37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2DE644-76E6-463C-8266-D19EF39448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992639-5965-4927-A531-336658DDA4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874D71-A0D9-43BF-BA62-F1CC8472D5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122BA0-0B7B-4B79-86A6-AE266AD738D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9C9CBB-A867-4657-968C-867F9273A80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EEB57C-59F4-494E-AC4F-85575429852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DE5731-B5DB-45BC-9DE8-69CDC59102C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A19ABA-C92B-4696-A82C-22FFA6C387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D741A8-069A-4698-9CBD-051B3F46DC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4CE4ED-A03A-491E-ACF8-FBF68D76606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7E02D9-044D-40E7-8AEA-62C7F44388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66093E-28F8-4F87-B955-6E453463B16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366697-699F-4F0D-9C18-28F596BAFD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6399A4-2100-4D0F-A55D-B24F6555ED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A2C8A0-E0EF-414A-A44B-465C783E9B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7D5EF7-EDE3-47F8-B2BA-C8E360E7098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2B864A-C152-4333-9DAB-A93444FA8FA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0A1FA8-21DA-4FF3-804C-632F4EE2FD4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5FA159-BB92-496C-86BA-97956AF210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E1F414-CDE4-4A1E-A87A-D8183DD227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C7AD83-B93D-4095-9419-6AF551A1DE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97547F-4A1D-4669-905D-15B0244B9D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146747-5A79-4E45-8325-F5B4BA834DD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303B43-920F-4105-A5E9-11C35FE072F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5AD0A3-0376-43D9-8D56-7FD80F1E6DD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4B500A-7FCB-4576-BDD3-0FD94E7ECA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163CBE-3E14-400F-9FF7-19BDC07726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FEBF9D-1E28-44D4-ACA3-C371509A6F7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B63204-340C-4604-9CE0-FE96FB93E15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A623EE-7E7C-44A3-87AB-6AC8DA7B81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3D25CF-B8DB-40AD-82E6-5CB20F83E5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E1900F-941A-49BF-BE67-FE7518EB5B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A583ED-A986-4D14-A0BD-D05C0C812E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91C2FA-FB77-447A-9792-DB6689906C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1A6CE1-F0C9-4867-A829-CE44455279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D50410-CE43-4F08-B4D2-87DD0CF23B2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A58BFE-5168-4515-BE1E-26AAE1ED036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0FDDAB-8A33-435C-B418-D6A56DE5876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4A10A3-85D6-468B-A2BA-AE074B7AA8E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0BAE2D-B325-4FA5-B95F-F568A6BCB4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5DE268-2003-4D35-AAC6-458328BCB4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673C23-0ED9-4C7A-A914-EBC3F94B2A3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AAF645-FA60-4912-A4D3-20385CC9B1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55CF9D-4C2F-4444-A75A-A30920217B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E1FBBE-3CDB-4470-844C-D2F2B0AFD3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F6C2CE-67D0-4DA9-A0EB-E14EEB559F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AA7B4B-5078-4796-9BD0-0FC46466CB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D1F113-5183-4655-9129-456450B2669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9FDFA5-EDBF-4E14-BA2D-2A81B651484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1BC0E2-BE55-4933-809A-F40932FA07C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BC8A01-EAF0-4376-99B2-E85C4CF384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7DB0E4-49AB-4DD7-94E1-8F238FCB7F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49FD52-4F31-45AC-A4E2-D75AB9B1736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DE4A99-9F38-4221-B5EA-6765C90991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34B6A0-A385-4228-8E42-DABBE3AEC4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122157-2BC6-45C2-9A1D-B11FFB932F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B66C2F-38C1-44A9-97BB-4048A301E5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38BB50-C069-4ABC-9847-45D7DA8F848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7CD6B4-0D6E-4BE6-8A1B-5712F290EAE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451829-ADED-4910-96BF-8EF1D2802B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E2A0BA-87AA-4067-BEE5-8C1E1B00A3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5B086A-0AA5-4E6C-A045-15F9E49D16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6D29D7-51ED-4366-83D5-122B1E27ED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D74654-196E-4979-9599-C14DE40B55C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0D0A04-D4E2-413A-9CA3-FB514C575C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7B7143-F543-4519-A018-AB5EB80E140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60E36A-098D-41ED-899D-7240B4DDD1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57E495-D723-45B2-B6FC-6E0C8F8FBEC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CE4B72-8668-45A5-8DB1-5366F52C6E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AE28E1-4F95-4AE4-B474-2991BD2D59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630866-A112-4898-863B-9C1ED77D4A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0500EC-40EC-43DB-8A2E-47E131CB7A9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0DFFCE-1BD2-4BCA-A40D-7AFABE19DB5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1E8614-4771-42CC-A72B-792089114B6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8D37DA-BEC1-4AAD-9F54-91A600AF2F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030082-52E9-40C4-887B-CF14D38D5A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EDC666-4E26-4806-B2E9-88556D546C6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445BA5-AAED-4761-858C-40C274F8B3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B2536A-730B-458E-B137-E5A653B54D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05801E-FC4F-4ECB-95ED-457C0B1BD5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66D1D5-28DA-4107-90CA-69FDD10CEB6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597019-FBA0-4042-B1D8-EC7DFDEAAB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FDFD54-6EBC-46C6-93D5-333C5B3E55B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563BF5-01FB-4EC3-BC7A-102AE1FB9FB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FEF9A9-5EDF-4B2E-B47C-10CBADC685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3DBA38-DDDD-48A3-A192-65649A88088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89F8BE-0D17-475D-A74D-46725E750F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9B562C-73C7-45D3-90BB-0B3E51295E6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BCAB7C-1AC7-4587-942D-75B0DFF7E3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9F5982-D26A-410A-8AE4-28DE34F6FBD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94269F-96CC-40C0-8741-4E1497FE911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880610-D1E9-40EA-9D9A-0B7AA2568BE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B9EF79-D535-4EB5-926A-9C248D2FA1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BEE8AF-002D-44A0-8292-B4A540B2D5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90C437-A0A6-45FB-84BC-CD1A89479A6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54EEC0-4F43-4888-A1C8-BF350E0D01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D57FD9-1563-47DC-B167-A9848DF8D2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196AFD-4126-4E03-B7B0-5DF5B170C9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28D07C-85E7-440A-A593-2DB3C86FD6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B4E25E-206F-4909-BD95-CB157E59CE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6243D1-9AE9-4F63-98B6-F38F3FBBEDE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78F169-EBAC-4B6A-B763-3BA967A0BEB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580E9E-531F-4F0B-B42A-80C9B2EE54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8CD8F1-5ACC-4673-A20E-9727466854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46C421-7117-4D34-9151-AF122BEB0B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CF5DFC-B50D-4C71-AA61-C4A079E237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3328CD-E550-4618-8361-6A3B57DF995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B4B7EC-0534-474B-81FB-360D1773C3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600A87-44D2-4256-956A-45B7665B300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83B078-D7E5-4966-BD79-9B5A518750E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2D342C-3735-4BE0-8A86-758018676D1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C10EF2-05EF-4D58-9174-C0994C5A981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A55577-C3F0-408D-A60A-FAAC52DF064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0E0745-9320-4D8E-B066-FDE3C92442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5FBD20-ABCF-4534-8C98-E4EC2ABFB9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B1D366-322B-4631-B53B-49A3B1587E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AE292F-ABD0-46AF-90E4-902CE97A145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8BB228-53A8-42C3-A887-85F3816E2C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275004-24AF-4DF4-9BFA-ECFC90D62C9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064449-210E-49E6-BBD6-A8E0198FA3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12B6A1-C4E9-4A41-8783-217FE6A360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E6DEB1-9514-4DFE-9850-67B9AD832F6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255E12-B327-4AEE-9265-C2373AF55E9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0B7CE5-70DC-444D-814C-04908D61EE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8F0F4C-7B77-46EA-8114-988AADF8A7A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247AFA-179E-4004-AE53-E2BD3159473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6AE7FB-5D4E-4DD3-A461-B8E7EBD138F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8D3696-D59F-4956-80D6-920CF7CCC6E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4EDF27-E92D-46B8-B154-59E698B2C1B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4CB677-8734-4F1B-A76A-C0B663FBED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9AEA55-D939-4A62-9EA5-845C4399DC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EA6A3E-6EE0-44F6-B844-1F7100BE55F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4C1E1C-90C7-484B-BB0C-C134FFBF06D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EAC30B-6BE2-467B-BE06-DBCEFACA276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4EF271-0DD6-4960-8459-424CFC6E7F8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60857F-54CF-4EC3-B886-AABA64B6A7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EB2AEA-3F91-406D-AA40-24C2CBF32F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BACA22-C163-48C8-A82B-7D58E3B422B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20C7D9-C89A-458E-9869-AA8D3802AF7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95081C-2C79-4844-BE3A-2E22C3EDFA1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D93DA2-636E-4DBD-A3FC-746AB478F4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DAD67-D7F4-49F4-8648-B8623F27E88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922053-913F-40F1-B6A9-6D576989C92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38AD1B-5BAB-4C65-8B68-789E1BB1F9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395260-0E72-4843-BEBF-10053A26762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60379B-A449-4850-8F73-8BE9066286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E8D424-CA5B-4671-8C96-066A306C26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0BC992-934D-4266-B413-1B136B7AF72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D47D43-F226-4C5E-9FDA-9FB5D77141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923520-C48F-4D14-8143-D65CD6F4853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407CCB-32F7-4C4E-9081-5AC074F10E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09E18E-3757-4754-B401-5CC4AD485C5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31B0AF-31F1-43E0-AA06-FDF709AB626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9CA8E6-6EDE-45CE-A4BA-0953FA4FD88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7E7EFD-EEEC-4A5B-92F6-44057A4ED0B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2B8C51-977D-4637-9F95-913C2D59C2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1E4042-57B8-4762-86C4-D32D17F8D4C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5A4871-31FC-45C4-BEB3-A4176A4575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12CFDD-FE89-48C6-80C0-16D105523B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CF7641-56EE-4C06-9229-B7B0F2F5B1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708D4D-51F7-45EC-B771-F310C960DD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154941-C9FE-4DBA-A0CB-C7F48AC585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595289-1BF4-49F3-B2B4-1A8FE3C12F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EA77C2-F8F1-45A1-9DB4-4CA4E82451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4B754-418E-4693-BCF7-CADEB6EC2C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B43027-A34A-4289-8997-0AAE0F159D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0B85B2-B34B-440E-86F5-3DD8C9B021D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FEB900-DE7F-4360-8DDB-7456DD6B15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DED5E9-4320-44C3-BC2A-20A8D6A37E2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05FEB7-5294-4C47-BF88-91E488226AB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48BB46-DD87-452B-9C5A-27A59BC38D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DB15E8-3B1F-4D48-AC59-6B85F46B91F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A690E7-ABA6-489B-B89C-89A0541D45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CB810A-63D2-4414-A4A9-C2F27C97DD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5BB5E5-E27C-452F-BBB4-36B774D535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B0EC66-FAB5-4100-8D13-0167603065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D3C21F-F521-4AAE-B740-35C9903248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57FDD6-CCEB-4F58-A08C-78475DB6D6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CBDB1A-B569-4CF7-9768-96117B2283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89C524-86DC-44EB-AE40-316A58EA0E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D5D2BF-F26A-4087-ABA7-28BC5D04053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35B4C3-A189-4FC5-AFD1-F16676D0CF6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BBC9AB-1338-43F8-ADD3-CFF292F82A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02033F-E7B5-431D-8786-D75E9265D4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6ED815-22A1-473D-B8BA-5160CC05A97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86EDFF-B718-43D7-B8C9-1E4A7546F25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2BA645-A0EA-49CA-991D-97442413082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27F827-EE83-4E11-B82D-F9B6687D90E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7D7679-D284-40F5-91B8-1D5B1965E1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C8C5DD-D96F-462F-8EC3-BCDDEB4CD5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4E346-DC9E-4251-9C69-3D76EE11EB4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EF5CFB-3F91-4876-89C5-456A294A11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E29ADF-A6F0-4F18-9DC7-17E234E443E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1CC788-1F0C-43B6-B255-99B2B3EB949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55255B-6DF9-41D7-999D-C543816FD13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846964-30F2-4D07-85AC-C3F0BC5F3A4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6D4A67-3706-44A2-BF1F-5A3D0D9702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900B4C-6A37-40CF-AD60-2546583413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297ECF-F5A5-42BA-827B-AFD5C0A6601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4FD0D4-CC6B-4DF8-8609-F3D4AA0062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84881F-184B-4093-9BA8-A54DAC16116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C02002-8DBB-44D1-8DDE-B48F2E2FB21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13FEB1-08D8-4931-A7AC-7F10673865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8FCD5C-5355-4136-B813-0910E8A953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0C8E8C-CE0E-4EA0-A2C3-33DB5A9AB0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1EE96A-2E98-43A7-A489-DA2D94B10CE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BCA1ED-CEA1-4F05-ADF8-FA2172F4FD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7C5F38-C03C-481F-9223-A696CD82065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7493D4-F92C-44B7-84C5-5A6A95D078A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8E7694-7686-4EFC-B853-3379A0A3F66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3027C8-86B2-4FB9-A8DA-9BEA880811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5AFBC6-40CD-4E8D-BF57-4DCFBA2303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FCAF50-9377-4C5D-BD48-83C8BAFFCD8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FAAAE1-5D04-4A5E-B191-D25D3DA5B3D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F5BB9D-D55B-4FA7-A097-F8AD717781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8E35C6-A615-47B6-A81B-8FF95AEA777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72BBE7-2E1C-4AD9-A775-D5A69EA0A1B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367278-D783-40BE-AAF3-13B65A95F3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F7A9BA-55AF-448C-AE4E-E1B4C0974E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7ABEC8-A365-43CE-A69D-0E7C6F0EFF5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823AA2-A49F-4832-951E-929A3BFD7E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E26BDE-7215-4D70-839E-4FF45C256D5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0D914E-74BC-4BAB-AB05-AEBA0E8F09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E12D2A-3D19-40E9-8E87-B563DEECE41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513AFE-4C56-4C6A-85F6-2D772A39FE1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FE56DD-78DC-4059-A302-45D625B1566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65EBC1-09DA-4E88-8EEE-E4F85ED02C3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DE5099-7E0E-4A37-A3D3-BD1009C54ED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DE902-1E03-46F7-A75C-4D0C904579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63DA9A-6BF0-4858-B1A2-4668A161967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EF116E-2A2F-4F63-87B8-5B13A28E586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ECB034-4C41-4909-A598-41E26928F38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461AE3-379C-43BE-85E0-057FC71336D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40BB94-E9F0-4844-A870-B58D3E87874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416AC3-38E8-4E23-B599-860487F2AE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923DEA-91DB-4EAF-AD45-2C3EE31E0C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178F5E-201A-4D59-9755-91779A17DB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23726F-7C41-4C8F-BE6C-B683A25BF71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1972F0-973C-41F4-A3D0-7AEAEF1703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C8C7C9-86ED-4C84-AB68-B68514A8C7B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ED2B9D-359D-40D2-A043-70FD13B1CB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0CBAF5-87AA-46F5-A685-37C59DF2D18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1EF6D5-A2C1-46A9-B8C9-4F735FFFE3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EF5931-029E-4BD4-B389-5DC76A413EA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421C37-C998-4555-81DC-C495BABF5AF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24E0F6-9660-4646-8DB1-0395A4AA633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85D6F9-0257-4075-8DC4-C20CA24920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80C2F0-476D-45DB-A50D-623D42D3817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5F7FE2-F81A-4093-A4EF-0A2AF42C698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645449-95B7-4F1C-80A6-56B66B5974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83F5B2-7DDC-4B88-AA13-5919748EE9C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4C2A10-0D26-4F03-A890-FD1D8CA45E3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6BD4ED-39E8-4084-AE74-D6931720EF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00D882-FAA0-447C-BC71-D2ABA84D7FC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7AE9F4-E0F9-4394-B54B-1A89F7E5BD0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911EE8-991D-46FF-B716-7C460A9EAF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F5D0DE-1F4E-4B0C-8ABE-81EBB1B7BE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35FDBA3-3263-4294-B0B2-BCA0B24099C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1FF18C-8E91-4F8D-A864-092F3F88463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FDEF34-BD01-4FE5-831D-5C145343A7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6BA2E5-7F4C-4199-9F47-0C1EA569FB5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8E1A9B-0883-4AD4-AF53-2E756AD61E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1B052E-750F-4CD3-A51E-47F38FADA8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6A4E53-6A41-48A3-A0AF-58DA1E3811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DA4FF9-4DF6-4048-B6A2-AB6AE45D4F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FD90BB-1B31-42EB-96F3-1456CD898E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92356-7482-45A1-8D23-460B7BD76E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AF4BD4-6CCD-4A4F-B409-DD0BEC6966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B1DB5B-ACC2-4E56-B541-AADC54F5176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89F5C1-C913-408E-B800-66D49EBCB08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7FC97F-99AD-40EC-9993-4F60164C1EF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06E6BF-79FF-4DF6-BD83-D961F2B07F2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6D5C63-4683-4F52-A790-67911D418F9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351842-6A7D-4977-B9F7-7E41FF5DE5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5B4B1B-F021-4C5F-AFAD-76C87700C19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4BC3BD-B27F-4677-9D25-D6DA5472D1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EDDF02-BB33-4B31-82F7-9B48C4DCE2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B18471-2398-44C4-AF26-DDFB94A74B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EB7EF8-DD87-48AF-BE26-680513B7A5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28C7B0-FDAC-4940-98AB-DD029D8221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D99DD6-7EA1-49D7-A894-EE26397D67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B56F28-513D-4668-8914-EBE69867110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023581-F93B-4A0B-AD10-B1B2A9CB64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45938F-AE17-4D21-8E96-39AE592910B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35E1C0-2D2B-4580-9520-F92B149138A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23252C-D8A1-4531-BE36-2DFA01E094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E736C0-27A7-4183-B550-ABA6746B29B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86BE4D-065B-42D6-922A-1B903B872E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DCAF67-42FF-4B2E-B15C-0A6E4EA3D9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F47B39-DAAA-4782-B236-922C5A5DBC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DF05E0-6D58-4827-9916-67E648817AD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FAD7D5-E713-4CAB-93E1-2D21D46BEB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B9DA93-4ACA-463A-B806-4F792ABF88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8E5CB-EBE5-4F56-98B5-1D2EB90B49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97150B-B0FC-4BBA-8D86-D00ACEAD6E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B51E6C-DD56-4827-AB95-865BC323CF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6B4613-4B59-4AEB-8EC7-139734C8C05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42F075-9E09-477E-8939-DD1224B10A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C72407-EAF9-4B50-AD09-28529AFB6F0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6E1A97-CD53-4AA9-BDFE-738BEAF8FB2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EF20C4-A7CE-4E2A-8DBD-C97ED88D2B6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1FCD44-448B-4B7F-818D-BE1B21A2D3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AF4D64-1ED4-4082-AD43-7F27A7C75C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DF3E14-2702-4DDD-B790-F071EC8FF4B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00EC32-90A3-4D35-94A7-E0BF2161A2E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F76A85-ED3B-4D9A-8377-C4D1DB139CD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120EED-D0DB-4C56-9751-4FE0BE60BB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3613F0-8D9C-46B2-B478-99CFF278BB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758A19-DFF7-44D0-9D71-13FB3375CFF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7EBAC2-3677-4114-B620-101D3702CB5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59AD92-8F54-40DB-82B8-F0B12B2619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A7C49E-2B60-436E-8A6B-7DEEC278A10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A05821-4410-44D9-9C90-A973CE69AE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F2DC4B-D01F-4624-B45A-6040CE430C8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A4B08D-707A-4FAC-85D5-C2C00880D5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5CEE8C-C518-448F-932E-2AAE7FCB93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64769A-84A1-44EB-9EBB-E86936CA1E6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4EE8CD-73A0-45F9-B366-11F268A5F7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821E3E-99EE-4481-8F76-370B2B7957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833FE0-A511-4F5D-8048-1CA43ADCCE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C694DF-7DD9-4E62-AD54-AA9295A0DE2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D9864F-D35E-4BE8-BE93-15BF21039C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80D4D4-F079-422E-81B6-24CA70ECDA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FD12CA-D6BA-41E6-B7BA-A032172A313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CB4589-2D32-4BB0-B416-5224FF35E0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D2CD9B-6E41-4CC9-951F-B2DA1BBC1D9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B3728C-4FBC-4F05-8E42-88B1526EB5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E7B316-A62F-4B55-A89F-8C943735810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57045C-291E-4BE7-B6C6-93100506B6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EDFE57-4C12-4731-AEA7-51EDDCDB17B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37D86C-C371-41FC-8737-3A913C56B9F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A8F81B-D373-48CC-A992-8E22897858E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68D7FD-5886-47BE-87BF-D59E28A503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EE076E-40C3-4A6F-A393-3C07BCEFCF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C47081-8244-4F6E-AAC1-EE1798D233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4BF821-AEFD-4B3A-A1E6-FE32BC5D30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8CB0E1-E7F0-4878-AC1A-4D4EDB05004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8198A7-BCF4-49CE-A070-16D737A3FC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B57EE8-9185-414C-B268-9E81E969C69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3A8278-9A76-4CEC-9C78-71FDE59DB30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48985A-88BD-4D58-A794-A33D86795A0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486842-51B1-40D4-AA08-BAF76303D7D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79F246-DE41-4DFF-BBED-5263DEAAF7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67AF68-DA78-4C40-B9FA-D5A313C0EC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1E5933-4E86-4A9A-A595-7ABC02F1EBF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6C0AAC-E555-46A7-8C97-E3B43A2B06E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D821A7-5048-4F93-BF76-3B6A793803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6D2D31-3BC7-4624-8DA1-28CF80A6798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A2B3B2-F241-47C0-B1CF-4326641497A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1CEB92-70CD-4E1B-BB1E-EBE54878E8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C18CDC-FE56-4CB6-97E9-BAB3FB6D30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4B43D7-8AD9-4214-843C-845DB48D96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0BE74E-FA8B-4A9A-9F23-A5F835DAE0B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5D9100-EA38-4A35-B3CC-2C8C67B1586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77C187-FF87-4368-AE56-70FE003AFB0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659B1D-D97A-4140-84F8-0A7055CF4AD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39035E-0165-4212-AB61-2CC1E2AFFFC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9F46F2-060B-4FEB-B367-9E0D9C11EDD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E7F165-0F54-4182-9E35-CC7113F95F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A140A5-D899-470D-A35D-58C00F1EBA3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3A7CAA-C2ED-40BA-938C-03A4638929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4396B9-6A28-4285-A940-0B8B6B5D899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9F503C-8F70-43B5-9C4C-2255A0E108D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60EAF3-B164-49DB-BC86-72483A74843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A8716D-84F7-4073-BAE2-5A58193178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0CF6F7-55A1-4AAB-BF0C-41F0E1297C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79E118-F9CB-4CC2-AA34-3439122ED94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FD523B-A523-4F49-B6FF-2F812154F7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3FD5A5-3045-4C95-9C54-9B0E9CAC83B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D50439-B184-411C-8689-C5D1F338C8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C56E6B-AFB8-4CFD-87B8-3B5CFE2DEE6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4A91C6-D1F0-4354-B994-F581142359E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B8C6BC-6D16-4E88-B09A-345E7C0407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D801CB-C713-4C0A-90F5-55E8A2B98A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40A5E4-1AB7-4938-858C-E165E82EB4B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AA6F05-6AE6-457C-9757-0DA20BB9A09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03BDB4-8D8B-40CC-B0F3-CD287A54D9C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E4EA4B-351C-4E57-B4EF-B0B9A8B48FB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963794-D031-4EF2-9C6F-CBB92B7A4AD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A557D5-FBA2-4D59-9ADC-99C93F9FCA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281A8B-8C97-46AE-9F66-C79F5E54E7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B58D04-87D3-4A19-8172-33B3A6E9C4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656E71-3FBC-4076-99DF-8447725D269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DC1A4F-75A7-4470-B915-A111BA725F1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BD7436-90C5-4145-B271-A089FE40FD3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CE2A0E-D0A9-4097-AF08-342266E1CB4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596951-2D1B-4D11-BBEA-96BCA7ED4A2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097E8E-3E27-4F38-87B6-81B5C12794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5F115E-BF0C-45AB-BA58-01CE8813F91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660ECA-AED4-4487-9FF2-9EE4FC3F68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0DFF7A-1342-4A91-A335-654EB9B919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F2093E-BF12-4FBA-AC70-DDDD8E4A60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42A678-3EE2-45B4-9A76-E54CD049FBC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C13ED8-655D-41DE-A711-E9E1E7D840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FF84B1-C13C-4B9F-B0E6-7E9DC40CCF6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A77A91-45F2-412F-AC45-FCD3E61B5B5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9B04BB-3D0D-4788-896D-4695E80549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B3B748-4FE6-493A-B66D-548BB759FC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FA5D75-8A17-46E7-997F-4442066F9DC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56FC73-990B-4D48-9252-F9FAF97BD7B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C5C506-8182-42F2-A13A-1DFB0345E5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14D1AF-4789-465C-BFB5-0E70243093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72F8F6-5AD7-4CD7-8C4F-DB1C47026B5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17227E-570E-4A6D-9924-60662B2095A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88220C-3EE9-4420-97C8-CBCB5D571BC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02E2D9-A84F-42C4-BB57-7469FE708F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362E2F-9E22-4FF8-A072-BF7C145DA8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20F11F-8E8C-49D2-9AF4-E11FDB08423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35B67E-8C1A-459B-B2E8-7CB8C58B8BD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486FB7-4693-478F-9342-D63A36404A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CAA9BD-29CE-4AEE-93FE-E488101DC26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150DFC-192A-4245-86C7-F9616C6E1C2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4D0751-AA68-451A-99C7-FBD36F6B05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606B01-5AB4-4EA6-96C5-B2DF91D764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7DA298-F511-4443-A26C-885A67D35CA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E97C9C-07DC-4DC6-ABFF-92406DB8AFB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29BA07-9546-48E5-A0B9-3786C2C17B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628F73-EC42-4114-A07B-258ECD082C5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B82545-A605-407C-8A3D-412C7FCED34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8E6DBE-397A-4AE8-97E0-4C1E9B2EA7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BAE91A-C989-4E3D-823D-4CAAF62494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E43CD1-4F0F-49BE-B7DF-C98577BC8EF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3B4970-7DF5-4695-97C9-09470477D9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0C7D0E-8D02-4A87-B997-D98A82E2DA6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D373C9-A2E6-4A88-9306-96615772D6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565C11-762D-4FFD-A667-4BCF8A00D6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4AFE5E-08E6-4DE1-9AB3-B1F1D958FA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500C84-5409-4698-AC50-EA1FDC6F74D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FCCCCE-0B8D-4524-9DD0-E773B37D756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ACC7A1-321A-4AA5-A282-149154D3BB6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EDDAA9-B888-4B7B-900D-EA9B7CAC4DC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F9B4D0-7CF5-4BB4-8F15-D3038689A4E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38DB4A-BF89-418C-BD69-BCA1D61676B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A6B344-F272-41B7-B84D-01450DCAF1E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A22C53-8871-4BDE-8735-8C97DD641F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51E047-18C3-4EB6-B0ED-AE7AB2B787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E23543-F522-4CAE-BEE9-500047BE92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7F494C-CE43-4A80-AAE9-3D952AE6DD1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EF54F6-F52D-43A5-949B-C8C86591460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D4BF5B-C97A-4B14-901C-146DB08504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530405-2AAD-4406-8B77-70386B029D8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989E4D-BAD0-4B1B-B3E6-F3CA6AEB7E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C60B2-157E-48A3-B51D-140A6CA245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CDF91C-5008-447F-8B68-62F47791E5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BBE604-7508-4F02-91DC-6ECE871D28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6C30B9-3FC4-4E98-86B3-321749541D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342723-17CB-4771-8459-880D650888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C6D27A-A10C-4AAF-8895-CA2BB641965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559EB6-3D2A-433D-B84D-0D88C02EFD8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194003-BB87-4C5D-94AC-DB7A82F4A2F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C2D762-6001-4F1B-9CE7-B51538B17DC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E76D80-0773-41B7-ABE7-F31F6D82C5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223AAE-C233-4AFD-9134-FA8CBB6DEBE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ED1BCB-85C8-483B-99B5-4F3C67EAC18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C4FAD1-FECF-4D9C-A0EF-A7C95C9F9BC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02F5B3-B6F8-48E9-A075-5F90DEC69D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ADFA65-9C4C-403A-9383-72BB1FCB0F5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01BA24-85D0-448B-ACEC-47A93A0C0AB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B4882E-D879-48C9-94D8-B41F829C44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128F20-837E-4D34-BE26-0E2BBF89F29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F28582-1F6D-48A3-BE37-844A332684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E63306-82FC-418B-9B88-1183E5108EC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62BB15-60BB-4A97-9A98-E3EE87B8B8A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4B21DC-665D-45DC-9595-A5E8D158318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E9AFC9-60D0-41D7-A6F0-091E0AB93E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555C92-2057-4FCB-A43B-5C7C7401A2E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AB5B01-151A-4E74-B2DC-2B5D16DCA2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D9BC0-B6E7-466D-8448-616F857852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E9104A-A1EC-4953-963E-38417C5C40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07BDC3-36D7-4900-BB2E-C6B92C2C5D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A11883-7645-47FD-B26E-F642F226BE7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19EE41-5DBE-4EFE-8A61-71FC3467D74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F55EFE-E924-4C65-B9FC-7FF7781218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B56BB6-EE5E-48A3-A295-9EA3712A4CE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B73874-8448-4319-880D-ABA96D1BB13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2C8652-5561-441A-927A-A33EE6BD7D8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F66592-1FF4-4CCD-AB50-2A03DD4788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F0D228-1B08-429A-A0F9-D4051E07F13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A9DED7-87E3-4506-9548-FB131F61D5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08F131-CAA9-4D02-84B6-A0F77258E1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A6EFCD-EFC1-4069-8FC4-63600DAD0A5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2A770C-0E27-4120-BBD7-3489B456C5A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CD5784-8641-4BD6-A3E1-1D1B3EBD3E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B8EE54-7D67-4987-A407-AB52554455C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0F233E-E324-4DB0-81FE-D23DC2DB7F8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255F9F-4A24-46A7-BA72-296B775CF8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5A5FA1-BA6B-4B65-8A69-D87C0357D1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D5740D-A72C-4825-9732-C8EE91AC87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E579E6-5C88-4EBD-8281-5E64B8CFBF5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709670-F2F3-4734-B301-0D768A23F19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1946FF-1B03-47FF-8E24-8FE276BFF0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68F0BB-49D5-405A-87D0-472D69703C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CB990E-C878-4DAD-8BCF-4F8B7C04BA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F412D9-E0F0-434D-9334-9C934DB02E5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186C4D-757E-42AE-A069-CFCEDC87459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FB776D-AB18-4280-9590-7C2BDACCF6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1CB22F-9AD5-4199-96AB-F6B9FBCBF8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25E946-E45D-408F-8E91-1B0CADC06A4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3D155B-3E43-4386-B914-03FEEA7B94F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A4248A-F6EE-41A9-B70C-12214507E3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F70C1C-3FC9-41A7-95A1-82154A80BF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30E9E6-1FE2-491F-AC92-54A3075A943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A3990B-7C7A-4472-BDC4-6A3A7A1E6E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ABDE1A-6628-4CF1-BB5B-3C5B7A39821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10D739-BF81-4E8C-9C22-B07E8D1349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F1C72F-CE4F-4492-A203-8A00D631B9B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7EF703-6C41-4A5D-8253-4F50021C449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6F20AE-5D5D-4B9A-A468-9B472AA18A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6AC565-0B56-4442-AAD2-91572957EE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884FA2-66FB-4F5A-B889-6C9B397576C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563087-F814-4CCF-AB54-9BBC3AB274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29E5D9-AF81-4923-823F-ADB376D775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D36818-705F-4E47-B857-D8167BFFD9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AFA6C7-41D2-456A-BE14-10776A29D54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C40351-0FFE-4AA3-9200-B3D4BB3BBF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95054F-48C4-45AB-AE99-1FC5E71C6CE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8E68DF-95F8-49E0-BB20-EA6303CB424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A86B57-452C-4DD1-8D15-137ED6687C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0C92DB-54E0-4B88-88BB-62889860D57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D4494F-272F-4B82-9281-55F7FDFCB2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488E1D-80C2-4D0F-A0E2-84D8D843700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532643-11D5-4429-B2E7-130E636FCB3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DE2C9A-39C9-4A89-98F6-BCCD72D0EA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BE1854-67B3-417A-BABC-4AD29AB0A6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A27207-9F40-4FB2-AAB5-96390D32F1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D3C5774-B8A0-46E0-8137-FA8A72D2002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AFE0D4-3921-4A7B-90C6-68A1407FFA8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0DD15C-C5F4-41E9-9DB0-24E52180BC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D29F8E-1D74-4236-9B37-BAB8E4DD26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865B4A-1A29-4E74-979C-4DB77C34FF7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BF7D16-1C54-4488-8641-4A243FCC73B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74B290-802B-4F54-AFD2-17CB36A37E3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A9EB1C-F5A1-43C2-87C1-2F70518F69C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D0110F-B6BA-4E14-A97C-7A4D12A7C5F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4942E9-4F78-421A-99A7-69B2DD9E36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47EAEC-4699-4FF1-BB22-A7F16A1B2D6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0C6FF0-EC9C-4C29-863C-FBFE6174F74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72D088-4A66-4637-89CC-BAC690452A6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4225AC-23FB-43FA-AA87-A136B1C0AC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73E869-E76A-4CA1-A73E-58D2DBD2DA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5EF42D-8986-4734-9AD0-D561EDAEE96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69988D-42FD-4BDA-889E-EE07F98C668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A89305-23F3-4608-8CA3-F34167C1A6E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2C9B4C-A281-4391-B4D5-70413166741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C718AA-E265-4968-97A4-13B42434929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792BA9-7439-4743-8CFC-DCE78A958C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D8D13F-0B45-49EF-9A9A-856183DBDD7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3FDDE0-A3F8-443D-815B-F321C6302F9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7F7C90-B4CD-4878-87C3-C2CE39F1E18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11D118-4B56-4430-9236-E6AC13B6752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E80B83-9B1A-4B3E-B85B-3DC831268E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9F48AE-B060-43EE-9400-B25749761A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E3A40C-4A5D-48A6-8257-4A44CECC21F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751457-BB8D-4C45-A659-34D48F7392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F28C49-3DE8-4FF9-B7AA-6F96E39081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BA8FA0-6773-4DA9-8397-B0F6EB020F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B4EF65-A123-482C-9928-BC8E2B86B75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207822-06E5-4148-9E40-55E6626D08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DD2B19-9D22-4120-9616-D84BE80882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FB2539-4C3D-465B-A74C-6BAB145D4D5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D7A1B3-7014-4343-9323-722C64E701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951F90-D12B-40A5-A5E8-B1462FFF3A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AA298B-29FD-4971-A393-6431DD80BD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2972E2-CF04-4ADA-A299-D598E3DC8C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7C75B3-FF1B-4C49-BB28-3B5317A83F7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BDE3A5-2C78-4FBC-B419-E801B628CA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E8C3CA-DAD6-4E4F-8635-6071AEEED8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59F91A-3167-437E-B7DB-EB1AAFABD5A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D065A4-83E1-44D1-98F8-BC6D73EF356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C83826-63BC-460E-AF0D-5427DFCF5F6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D6E17C-7649-4616-808F-C0EE150EF0A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11C0DA-92B3-47BF-A974-B431F88909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F3C489-2B5F-46D3-90E2-76EBDDDF58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A32C84-D38A-4211-8629-A42F653DDB0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DEF8A0-9939-4ADC-B76D-E73737C72A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28A8B5-88BB-490B-80E8-7B461645CAB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C884C7-A282-4A10-A17E-8038FF6083B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F11881-2BC8-48FF-8058-5163A4F75F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B4709F-93BE-4958-81CD-B263FD8F06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7AFC8D-CD16-4553-B9C2-A6BD448AD1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D149E8-C5CE-4FC1-BA96-C91C63B0EA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F666FF-AED7-404E-81B7-2E68D9B7936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E9DEB5-8635-41F8-BE6A-A74708FB8C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B26CAB-964C-4E88-8B25-A8437E6763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734C42-6469-45B4-9941-31C8BF2443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6F2B0A-4B97-477B-9E03-C5FA461BDF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BE4D4B-CA0F-4958-A09A-2668ED63653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86FAC7-69C8-4A96-BAEB-A5899D57C7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ED8A12-18CD-493B-A7E8-10D3B9EBF9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B9FED2-C9EA-44FF-B28D-20E8D322313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6E67BF-7A26-4C73-97D5-46BFF9A8411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E3AF77-E77B-43BE-BC49-FED8308C84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8A9FEB-989C-4AA2-8608-F81E00CD025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4DB928-8CB2-484E-B8EF-406F4B82CB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3DA8C6-2355-4658-9059-6F0A026859A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D15C710-170D-4BC3-B2B9-A3CA700ECF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201B6F-FE5F-46CE-8A0F-2448F65440E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DEBF25-275F-4021-BC8A-FBB420A2E0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F6A5B0-2D63-461A-8BA3-2C5E2C0B92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93C5DC-AC2C-4B33-93BA-90078F4DE8C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E813E3-3422-4454-8C36-5C627495F44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DFFD56-DF8F-4E70-AF06-0A7811D11C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7A60B1-7AEE-420C-A298-9246082A3C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4181D9-D09E-4706-A56D-10DFB0576E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2E823D-BE3B-41EC-8C3F-AA0376AF40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8FC5EB-4444-4ABD-8FCF-5C2462CE7B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515DD2-82AC-4782-8C52-4302B99554E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58E585-9D7A-427D-99C9-AC374BF2C79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56B2DA-A519-4FEB-B182-8B6470C34B1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0F5547-2271-4B8A-8C75-1631C13196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7D997B-9B99-441B-A638-89102E1308C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0D90B5-8E83-4229-8C60-EB7D91FA94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FFB51A-7B62-4321-ADB1-90D7A1946F2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D3C910-12B5-4BFB-930C-1DE0769C95A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E683A6-16AA-4147-B6F7-2AFBF61917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7BD48D-F5BC-4B25-9A34-3E840074634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534030-4709-4B82-9DA9-5EA61F53D60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818B62-0CA4-465D-8BB4-17E5BEC79B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37CC36-C54F-43A2-A92D-B4EE00C5BB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20147B-4751-488F-91F6-12EB42D029F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7D77EE-9856-435B-864B-4605AF565FF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9B0A5A-B7B2-40F1-A147-8960A6F223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8344F4-AE3E-4CAD-9602-AD287CFD30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FD3A89-D253-49C2-8FB6-0F35C1999BA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E5F743-A3B3-4A05-A69A-636F2FB30A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FC5CF3-2993-486B-AB79-900C5A54E6E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BB52F9-9C17-4372-8CAE-FA4E6706F69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B3D398-2A8F-4F3D-93AF-CFBA9BAE214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7A1232-460C-4051-A333-EC3148E17A4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912CF1-D488-40C7-A151-8531843B7C8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5498F0-F23A-4C06-B2A8-32B2739B0B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E53B86-C8BF-417A-9CD3-C751A6D1B88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D1B9C1-6DC6-46F3-945C-2F63ED9506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C8F42A-5333-44F9-87BF-1C91C40CE0D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4C4527-D309-446B-B49E-E6CE09FC3B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2D2389-6EBC-423B-A5E6-33141A47C60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FC36FF-15DB-4366-B077-4A00E1B786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A85FA8-1C1B-49E4-AC0A-1922EACB9FB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AEAD02-2532-4462-9264-7C01D89EB76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90A13B-2184-4CDB-A7E9-79E553E8E39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5F29C0-C419-4D4F-85C1-74A31518A7D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CCBD80-2E36-4041-B659-352FEE9F100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A4E34D-703E-4846-AD1F-A60CEA005C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76D7BB-F2CB-4FBF-8E1D-F365C599C05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5CE303-68B5-4566-9321-93534CF030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359E93-F5AD-4BCA-964F-589A5699828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A6DA36-E400-43CF-84F0-BB51E4E1BD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8F85E6-5194-4370-AACB-38BA04F01E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FB971E-5C1F-4EC1-90AA-F821A7E574C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7EA2B9-D0B1-484F-A01A-F89706884D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D6B701-8E63-44FE-83A3-D0568AE19E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364671-6B1A-4CF9-8648-325C415FA9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F8E190-9C00-48DE-A561-E2597FA770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D47CDA-2EA7-4215-BDB6-75B497858F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A0047C-927F-48B7-BEE0-3336AB1230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502F5C-8E3E-41AF-B1AD-1134684345A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4D14FF-1B31-43BD-AD4B-636D7B7AA13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040350-A48E-45DA-A06D-6B4C8819480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E16C38-0ECE-485C-8FDD-98CA51FC972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6ABB2A-E75E-4921-AED3-283EEEF6589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B5BBC5-46B7-4B18-9D24-1E42D82FEB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CE4C58-358C-4DF4-8B0A-DC1A41EFA54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79CA53-1524-40EA-B26A-8766513EA24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44B1C2-2125-486A-BF01-3CDB2FD4C9A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409E94-5CB4-4F0D-9FE6-EB9E4618B8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D720CE-516D-4352-8ED8-44148EDC06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959392-1630-4550-932D-4B209555BF9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45B62B-5284-48E1-832F-63FF8C7BA6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E7116E-D90C-48B2-A0D0-2C995CCAD5C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A3E7D6-09EB-41CE-98C5-5B4210215A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CC6EB2-A37A-4964-A07C-413A0EE7EEE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828274-C590-41D6-9C94-D227A2FE9D3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928130-7DF8-4624-A004-825F94F467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925943-88B4-473D-85E1-28F2363EB3E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96093D-9D78-4B01-8213-F8043037CEC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4E0722-8D2C-4607-B5DA-DA0833FCA55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0EA008-4371-414E-A47A-B5DE9E53D26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917AA9-7AE7-4C02-835F-B001D2BE0E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25DC54-58CC-49FB-9852-0B551773CF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C69BA3-2FD4-4359-925E-3EF229DF88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2B6FA2-7F8E-400A-AD1C-D5CE4132ECA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4EF784-FA5A-473C-95B2-8628E2FB717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5CF6F5-57F9-40C6-8F96-302EE71EFF1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357A4C-E70E-4780-9BCE-503EDCAEEB3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C9F904-7494-48BD-B43B-10166E2F43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C7C20D-097B-49CF-9D7E-7D75A496270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3E9510-58FB-4A88-BFFE-6D387EF61CE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288AAB-F5B9-4F5F-A5E8-0964966A42B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0D2B13-63A6-49F1-B7BD-4DC7EA0D81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3BFE46-3DC0-4D0C-BC1E-2F6C54F716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12C259-E0B5-4063-97B1-45579376308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CDE70D-FE36-4B37-9243-DE69E63CCF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DF4BA0-EE07-4FD9-8A86-B3D8A53E76C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2CEBC5-86DD-4FFC-AF79-3082711622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8264E1-520C-41DD-9FCB-D97C06268E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6783D8-33D7-45B4-9159-9156989C92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539EE6-A6C1-4CDA-95F7-F4BCA47F1AB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AB27FB-164B-423E-80C8-0484B3DDAD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CCEC74-07D5-4A8C-B1F7-832FACB815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A5B20E-6D86-4E39-9DCF-ECF355FA16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72FD48-B8CB-4DDB-B8A1-D0174510E1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3A9EE0-E280-4CBA-8FFB-9112276DC9F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7FA9F2-4A30-41EC-B758-D6AC62600F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EB350C-C1B8-477F-ADBB-90BC277B4A7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90CEE7-08DB-41EA-8867-57E518F0E36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4356E3-C4FC-4947-A6EC-23BB684FCE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CB49A7-68E1-42BF-A2A4-C8F9BD6F90C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6CAC61-4B18-4956-AB3D-F5B550A152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DD30CC-9B78-4E0B-8E79-866466082C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3DC333-F15B-408F-BAE2-41C802D9126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453DAB-FECC-4770-B902-666244BE527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A15F85-B562-4E21-9C33-F8EC7D7083E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B9988E-94B7-4628-80A7-607F4D95BE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87B553-26A2-466E-BDB0-B63C30A01D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A36106-7E6C-47B2-A583-E9927B2250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97C1E1-4710-4326-886A-6EF8A037D0C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52BB13-94CE-4EB0-A3FB-1F6707598E5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B58E0A-A9C4-4BF4-A9EC-D7035B2129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3DE632-A966-4365-9FCD-3B00E8C1773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35234E-64B5-425E-8BF3-2AB8E94E010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1D9207-E27D-4E34-9669-9DCC56003D2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B19FD8-EE7C-480F-8AC0-B5BD722011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ADC771-D396-425F-A3CE-52BAB142E7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FE9F07-1705-4C41-A60F-D87DB54B94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6BA0A5-E824-4653-91EA-CA5F68E2B61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A95803-757F-405B-B016-55D0D0F4A7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A21C57-C1F5-4311-B0F5-9ECE714B899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853B50-F5A0-431E-8AE4-063FEE3EA3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F53B5E-4F7A-4CD6-BC41-3D9DD4BF5F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550D16-4932-4B33-AAE7-6B1D400D734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3C4853-BD16-4ADE-A6D3-E480C4ED52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1ABEC4-034D-4DEC-931E-6F7BB3B0CE0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BCB5A3-73D8-4F0B-A607-E4A15B1F7A0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DC30AA-13E4-4A06-BA3F-B9C567722D5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7AA0B4-3A80-4B8B-8485-7E94F63C2B3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0C278C-21A3-41D9-A9DF-2245D511FD4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C6577D-C36C-417E-9927-767D6CEE74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B34DCD-C534-473F-9895-2EA9EE1741C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9CE960-9DA2-4151-B924-572DD5E02F2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FF8D66-2CF5-4123-8E37-20690EBA86B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7C7F99-29BF-4DD4-AF1F-65A54C49CBC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F8DDB5-2225-4C92-A664-D9B6E41827F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EA315B-A2BE-4182-90B6-66CBD4CF7CA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49C272-8C5E-4022-B0E9-E593952B9F2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E269A6-06A2-4E06-9D8E-7A7D98B62B7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34EA82-A01D-4F1D-90B8-DE065A7095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A6314E-1D2D-4063-BA78-B2293C1EE88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F2439A-80F1-42AD-836E-8CC153C40A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D45A1E-1B37-4D4E-A8E9-36AD76D3097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E91684-DC6F-486D-8807-E6F97627A5C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955E88-90CE-4C7C-8BA0-743451F43DA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F1F58F-66FD-47B3-A07E-D8496D2398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5BA370-2F54-46B6-B073-CAA571A4F3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365160-D038-48C7-B670-AF56B6F70C5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076C87-D407-45C7-B183-F66FE247B02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A65D85-4252-4B35-AE69-9CA7B325C0F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8BE2AF-0667-43BF-BBF6-BB27ACEB3B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E21A2C-FF6C-4CFC-B321-2AF89792173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E3237B-6297-4400-B383-2680B4CAF4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E3391C-7AF3-4216-9818-0836BCDE82B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7A643E-498D-4533-B5ED-73496B25FCD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AE3847-04A8-4848-BA30-E5CCF55430A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FCCDD0-FD4C-4BFE-AE3A-E90FD2AEAC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B8F2F0-0355-4AC4-93EF-49F445F8E95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F26B4E-33CE-4003-9D18-CEAE55940F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70B7D6-A9E3-4061-AEBA-EF5635768D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4938E6-B968-4796-B36D-37C5AE1C0E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28F0CE-C1F3-4DC4-82BD-A4794DDE53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698638-3FE8-4344-8914-1A86242F89C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07DB0D-4D51-4C48-95DE-601A8E8DED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05713A-DFB4-47F1-A8C1-04FC273A150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334AD1-3622-440C-8A79-A053676709D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BCB2D2-43A0-4E05-824B-CD517291BC6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F5927D-4CAB-4820-8EB7-00793240355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C4CFB0-1BF4-4E44-8727-32D9F3F01D5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F233EA-6EE9-4210-8D70-19D50C237CC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89F835-06F3-431B-BE03-11826B6B4CE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62210D-CAEF-43A0-A29E-E344FEC5012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7B18FF-7C96-4CC2-9398-F0E5EDE8733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D8B647-B1A7-429D-B730-3E3C636535C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40BFC5-F600-4CA3-B9E8-8819CE65A48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0966D3-F5EF-4A7D-97F0-CF34585EDE1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019C40-D4B5-4AF2-82BA-1C4094E5CE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7DF2B1-569A-4764-987B-C1CD0AB1871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800FF3-2CC5-4C6F-8ABF-3D10E911FC6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852AE3-4EF2-42AD-99DE-EE04D9CAB3E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3AF1AA-6EFD-44FF-BC08-A6B18252C0F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C1D6D7-A405-4B59-BA09-A88D269F0FD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9B5AC4-5DA1-41C2-A7A8-2EEB73E385E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6766AC-720D-461A-978F-7302CBD4E1F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E248F4-C1BE-4257-BE94-358CC6A78E5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704E71-0D07-4615-9B1C-1E25B38D33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F391A0-3F3A-4BC8-9386-9ED36C04A28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A5B8D4-9CD3-4E2A-A8E9-CDB0D74AB0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63C4B0-C006-4BCA-B61B-2E06FDA277C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0E096C-9171-4A20-8BF4-4DDD2001E43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D3509A-CD1B-4C03-837D-BC1CF97050D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154299-0832-4D2E-B19A-8BE08693DCA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A8DAF2-BCB8-498C-8C1B-4FF925A8FCE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4C9F5A-4326-4CD5-9473-3A632E0621B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6E1729-1DB6-4C50-809C-6EC723A0CAB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E9DCF0-1060-49C2-87BD-572A4679D7A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85B320-0535-4D49-988C-42928EC848A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65BBC7-3A85-4587-96C9-4101A0FD1EF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611DEF-B7EA-462D-AF44-A311668D34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2CA7A6-C1D8-4A45-B6E1-5887C8C4927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CD64DB-45D7-4AFE-88BA-B38938873E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D560E3-9E61-48A7-A6D4-2171529A651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F51758-6156-4400-B1BD-F3CEF50416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B37168-E3E3-44D9-B8AC-9143176084F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A4A560-424C-480A-B157-5E439D1E43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C43D62-AC7C-4153-B362-8E86D0681AD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16A400-A970-4696-B804-761E0F30E82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EDE294-76EA-4BEC-B883-038A7DE2E58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897880-7011-4121-8708-99A0EEBC689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D240F1-146C-411E-83C9-CCDF6E34C75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365CFD-5D6A-47C4-B75E-28C40593F77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33EC4F-A72A-4903-9DC1-7C5A732BE5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D19CC5-80F8-483B-A8D6-3259DE522E1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C626DA-4A18-447F-90A7-D2479FF5CA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F8336-19B1-46F6-BF64-FE221E6D69C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F40D0C-EA33-4CB4-9F36-27ED499A481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0D117E-DC46-4934-8AFD-776A78DA0A3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D8E56F-957A-47B9-9AB1-91F85AE5F44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8C9EA3-525F-4A93-AD2F-BD799127D00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47DBC0-6CF5-42D2-97B6-422BA8ED1F3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A37CAD-F178-44BB-A9E1-0BF068EC0B7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1C8FE2-8663-4C0A-A000-DDAC541EE7C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CF4B50-8AD1-4A09-86F3-50F3D71833C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B168E9-B003-42BF-8DE8-14EB9CF7B46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A512E0-E3C7-4EEC-9E35-A22BB825DC2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A20A51-1C82-47F8-9419-A83D3A42F9A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A8A22F-FB91-4926-9B72-3F41E80D60A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079432-9661-448F-8E88-5BFBD9F437C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9C00A0-405D-4677-9460-1FC77FC5792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73C069-C722-4D5E-B23A-B41AAAB6360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F33AFB-AB84-40C2-A483-D114A49C390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56426C-A70B-4FB1-AF0A-5FA07CFCC17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EC0508-93D1-4F47-8E4A-C15372CD152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3911A3-2ECF-4337-B3A9-4563A5D9122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4DE8CA-BA6B-487A-9326-2766770D1A1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EA2E87-3A93-42C8-8055-A4E8CA3724D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470CBF-BB11-4C39-84F1-81D8D4C90D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787920-536A-411D-9DB9-1B882B283A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39B289-5F16-4820-8092-E3D984C1EB8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BB0470-6621-44A3-9FDA-915CCBEC92A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BA1599-F49B-463C-BA2C-DF0DAC4C0E9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00ED8D7-07F6-4C9F-91D6-BC983D870256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D88457-D76A-46F5-9221-B7A96AC2512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F32D47-EED1-4169-8C0A-865A8260A57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4DCE74-2E85-4DA1-AF45-B8B7AEA7A1F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1C3782-7011-4CC3-940F-B992B753CA7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C10D23-95A3-4B98-BB4C-E942AACBE89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D2E652-119D-4D7F-B742-19D6C9819FF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E57159-9D07-4D27-B9F3-E1B027148C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B38D10-B88D-4C3E-922C-BC2053451C0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49C0A9-2E1B-4520-BDED-1D23D3F147E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C2E011-D7E0-4A66-A51F-7E6D1B315D0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175B77-BED7-4DE7-90F7-FEBD776A711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16B6B2-93C1-43E0-808E-42D8B9EBEFB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4030A6-5E5B-4D9E-8C31-DCE8710AB95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C3227D-E6D3-4D09-8BA9-9A6CA98E3679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919778-4D40-4753-A153-F3F195AAEF82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B28CBE-690F-42C1-9B7D-A33F722A04F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2B1662-5938-4D1C-AD8E-12033081449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01365C-BDDA-46B9-9399-543AB963B79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A818FC-3BAF-4A30-B262-E83A15A11C3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04F6D4-B919-476A-A062-38AE0D70D731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71199B-3F1B-4A96-B2A4-D24402BA3F6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29088C-4708-46D5-B895-27AADA105D1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26BE3F-4D51-4499-A518-760DD597AFAC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D0E0F7-537E-495C-BA9E-733FC155DF6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7A7E7C-D274-45E7-88CB-3C1133E820E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4BFB0E-954E-4E91-B8BF-D3F5684DE76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D2E282-8665-4168-A368-1E636DC29F5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BF8AD8-0D42-462C-8E53-E25A1432C91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D66A54-0F94-429C-88BE-F20B9A241DC0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FACEAE-FCB1-4A74-A32C-0304EE47CE5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804B83-F6A5-4545-A793-6144B60643D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1979A6-EE7B-463E-A149-C99BA47B07CF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F8F4A0-098A-48BD-A2EF-6A3FA4F03CE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BC5374-565F-4BF1-84D2-42C59BA53173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56D0DA-6413-44B7-BDD0-FB966486238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D64CA2-8337-4935-A925-6A7DA8108555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F4D941-06FE-4070-9AAB-9EC34819D37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ACD265-0445-45BA-B663-1446A58236DE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529639-EFFC-4D4A-B453-BC6FEFFBC9BD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F6CEEC-5DF9-4B44-8992-1C1D82D5FA8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5F16A9-949A-4B3A-9394-37CA8C40808A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457C8A-9E8A-4307-8E51-E6A471772BB7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D068F9-BF83-44A2-AC46-D1CBDEBE89DB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3D932D-59DA-4C21-A6A4-4A7BEADB8154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1125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F1" workbookViewId="0">
      <selection activeCell="I4" sqref="I4:I5"/>
    </sheetView>
  </sheetViews>
  <sheetFormatPr defaultColWidth="9.109375" defaultRowHeight="14.4"/>
  <cols>
    <col min="1" max="1" width="4.44140625" style="16" customWidth="1"/>
    <col min="2" max="2" width="25.44140625" style="16" customWidth="1"/>
    <col min="3" max="3" width="14.109375" style="16" customWidth="1"/>
    <col min="4" max="4" width="29.88671875" style="16" customWidth="1"/>
    <col min="5" max="5" width="72.44140625" style="16" customWidth="1"/>
    <col min="6" max="6" width="16.88671875" style="16" customWidth="1"/>
    <col min="7" max="7" width="15.44140625" style="16" customWidth="1"/>
    <col min="8" max="8" width="13.6640625" style="16" customWidth="1"/>
    <col min="9" max="9" width="19.33203125" style="16" customWidth="1"/>
    <col min="10" max="10" width="20" style="16" customWidth="1"/>
    <col min="11" max="11" width="17" style="16" customWidth="1"/>
    <col min="12" max="12" width="10.44140625" style="16" customWidth="1"/>
    <col min="13" max="13" width="15" style="16" customWidth="1"/>
    <col min="14" max="14" width="15.33203125" style="17" customWidth="1"/>
    <col min="15" max="15" width="16.5546875" style="16" customWidth="1"/>
    <col min="16" max="16" width="32.88671875" style="16" customWidth="1"/>
    <col min="18" max="16384" width="9.109375" style="16"/>
  </cols>
  <sheetData>
    <row r="1" spans="1:16" ht="28.2" customHeight="1">
      <c r="B1" s="20"/>
      <c r="C1" s="45"/>
      <c r="D1" s="27" t="s">
        <v>0</v>
      </c>
      <c r="E1" s="27"/>
      <c r="F1" s="27"/>
      <c r="G1" s="27"/>
      <c r="H1" s="27"/>
      <c r="I1" s="27"/>
      <c r="J1" s="45"/>
      <c r="K1" s="20"/>
      <c r="L1" s="20"/>
      <c r="M1" s="20"/>
      <c r="N1" s="20"/>
      <c r="O1" s="20"/>
      <c r="P1" s="20"/>
    </row>
    <row r="2" spans="1:16" ht="14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4"/>
      <c r="O2" s="1"/>
      <c r="P2" s="1"/>
    </row>
    <row r="3" spans="1:16" ht="15.6" customHeight="1">
      <c r="A3" s="22" t="s">
        <v>1</v>
      </c>
      <c r="B3" s="26" t="s">
        <v>167</v>
      </c>
      <c r="C3" s="46" t="s">
        <v>3</v>
      </c>
      <c r="D3" s="48"/>
      <c r="E3" s="47"/>
      <c r="F3" s="46" t="s">
        <v>4</v>
      </c>
      <c r="G3" s="47"/>
      <c r="H3" s="28" t="s">
        <v>5</v>
      </c>
      <c r="I3" s="28"/>
      <c r="J3" s="28" t="s">
        <v>2</v>
      </c>
      <c r="K3" s="28" t="s">
        <v>6</v>
      </c>
      <c r="L3" s="28" t="s">
        <v>7</v>
      </c>
      <c r="M3" s="25" t="s">
        <v>8</v>
      </c>
      <c r="N3" s="25"/>
      <c r="O3" s="25" t="s">
        <v>9</v>
      </c>
      <c r="P3" s="25" t="s">
        <v>10</v>
      </c>
    </row>
    <row r="4" spans="1:16" ht="14.4" customHeight="1">
      <c r="A4" s="22" t="s">
        <v>1</v>
      </c>
      <c r="B4" s="26"/>
      <c r="C4" s="23" t="s">
        <v>11</v>
      </c>
      <c r="D4" s="23" t="s">
        <v>12</v>
      </c>
      <c r="E4" s="23" t="s">
        <v>13</v>
      </c>
      <c r="F4" s="23" t="s">
        <v>14</v>
      </c>
      <c r="G4" s="23" t="s">
        <v>15</v>
      </c>
      <c r="H4" s="23" t="s">
        <v>16</v>
      </c>
      <c r="I4" s="23" t="s">
        <v>17</v>
      </c>
      <c r="J4" s="28"/>
      <c r="K4" s="28"/>
      <c r="L4" s="28"/>
      <c r="M4" s="25" t="s">
        <v>18</v>
      </c>
      <c r="N4" s="21" t="s">
        <v>19</v>
      </c>
      <c r="O4" s="25"/>
      <c r="P4" s="25"/>
    </row>
    <row r="5" spans="1:16" ht="43.95" customHeight="1">
      <c r="A5" s="22" t="s">
        <v>1</v>
      </c>
      <c r="B5" s="26"/>
      <c r="C5" s="24"/>
      <c r="D5" s="24"/>
      <c r="E5" s="24"/>
      <c r="F5" s="24"/>
      <c r="G5" s="24"/>
      <c r="H5" s="24"/>
      <c r="I5" s="24"/>
      <c r="J5" s="28"/>
      <c r="K5" s="28"/>
      <c r="L5" s="28"/>
      <c r="M5" s="25"/>
      <c r="N5" s="21"/>
      <c r="O5" s="25"/>
      <c r="P5" s="25"/>
    </row>
    <row r="6" spans="1:16" ht="18" customHeight="1">
      <c r="A6" s="16">
        <v>1</v>
      </c>
      <c r="B6" s="2" t="s">
        <v>20</v>
      </c>
      <c r="C6" s="4" t="s">
        <v>22</v>
      </c>
      <c r="D6" s="4" t="s">
        <v>23</v>
      </c>
      <c r="E6" s="5" t="s">
        <v>24</v>
      </c>
      <c r="F6" s="6">
        <v>19.923719999999999</v>
      </c>
      <c r="G6" s="6">
        <v>105.41092999999999</v>
      </c>
      <c r="H6" s="18"/>
      <c r="I6" s="18"/>
      <c r="J6" s="19" t="s">
        <v>163</v>
      </c>
      <c r="K6" s="16" t="s">
        <v>162</v>
      </c>
      <c r="L6" s="7" t="s">
        <v>25</v>
      </c>
      <c r="M6" s="7">
        <v>24</v>
      </c>
      <c r="N6" s="15">
        <v>8</v>
      </c>
      <c r="O6" s="18"/>
      <c r="P6" s="18" t="s">
        <v>164</v>
      </c>
    </row>
    <row r="7" spans="1:16" ht="18" customHeight="1">
      <c r="A7" s="16">
        <v>2</v>
      </c>
      <c r="B7" s="2" t="s">
        <v>26</v>
      </c>
      <c r="C7" s="4" t="s">
        <v>22</v>
      </c>
      <c r="D7" s="4" t="s">
        <v>23</v>
      </c>
      <c r="E7" s="5" t="s">
        <v>28</v>
      </c>
      <c r="F7" s="6">
        <v>19.910889999999998</v>
      </c>
      <c r="G7" s="6">
        <v>105.40652</v>
      </c>
      <c r="H7" s="18"/>
      <c r="I7" s="18"/>
      <c r="J7" s="19" t="s">
        <v>163</v>
      </c>
      <c r="K7" s="16" t="s">
        <v>162</v>
      </c>
      <c r="L7" s="7" t="s">
        <v>25</v>
      </c>
      <c r="M7" s="7">
        <v>24</v>
      </c>
      <c r="N7" s="15">
        <v>13</v>
      </c>
      <c r="O7" s="18"/>
      <c r="P7" s="18" t="s">
        <v>164</v>
      </c>
    </row>
    <row r="8" spans="1:16" ht="18" customHeight="1">
      <c r="A8" s="16">
        <v>3</v>
      </c>
      <c r="B8" s="2" t="s">
        <v>26</v>
      </c>
      <c r="C8" s="4" t="s">
        <v>22</v>
      </c>
      <c r="D8" s="4" t="s">
        <v>23</v>
      </c>
      <c r="E8" s="5" t="s">
        <v>28</v>
      </c>
      <c r="F8" s="6">
        <v>19.910889999999998</v>
      </c>
      <c r="G8" s="6">
        <v>105.40652</v>
      </c>
      <c r="H8" s="18"/>
      <c r="I8" s="18"/>
      <c r="J8" s="19" t="s">
        <v>163</v>
      </c>
      <c r="K8" s="16" t="s">
        <v>162</v>
      </c>
      <c r="L8" s="7" t="s">
        <v>25</v>
      </c>
      <c r="M8" s="7">
        <v>24</v>
      </c>
      <c r="N8" s="15">
        <v>11</v>
      </c>
      <c r="O8" s="18"/>
      <c r="P8" s="18" t="s">
        <v>164</v>
      </c>
    </row>
    <row r="9" spans="1:16" ht="18" customHeight="1">
      <c r="A9" s="16">
        <v>4</v>
      </c>
      <c r="B9" s="2" t="s">
        <v>26</v>
      </c>
      <c r="C9" s="4" t="s">
        <v>22</v>
      </c>
      <c r="D9" s="4" t="s">
        <v>23</v>
      </c>
      <c r="E9" s="5" t="s">
        <v>28</v>
      </c>
      <c r="F9" s="6">
        <v>19.910889999999998</v>
      </c>
      <c r="G9" s="6">
        <v>105.40652</v>
      </c>
      <c r="H9" s="18"/>
      <c r="I9" s="18"/>
      <c r="J9" s="19" t="s">
        <v>163</v>
      </c>
      <c r="K9" s="16" t="s">
        <v>162</v>
      </c>
      <c r="L9" s="7" t="s">
        <v>25</v>
      </c>
      <c r="M9" s="7">
        <v>24</v>
      </c>
      <c r="N9" s="15">
        <v>22</v>
      </c>
      <c r="O9" s="18"/>
      <c r="P9" s="18" t="s">
        <v>164</v>
      </c>
    </row>
    <row r="10" spans="1:16" ht="18" customHeight="1">
      <c r="A10" s="16">
        <v>5</v>
      </c>
      <c r="B10" s="2" t="s">
        <v>20</v>
      </c>
      <c r="C10" s="4" t="s">
        <v>22</v>
      </c>
      <c r="D10" s="4" t="s">
        <v>23</v>
      </c>
      <c r="E10" s="5" t="s">
        <v>24</v>
      </c>
      <c r="F10" s="6">
        <v>19.923719999999999</v>
      </c>
      <c r="G10" s="6">
        <v>105.41092999999999</v>
      </c>
      <c r="H10" s="18"/>
      <c r="I10" s="18"/>
      <c r="J10" s="19" t="s">
        <v>163</v>
      </c>
      <c r="K10" s="16" t="s">
        <v>162</v>
      </c>
      <c r="L10" s="7" t="s">
        <v>29</v>
      </c>
      <c r="M10" s="7">
        <v>640</v>
      </c>
      <c r="N10" s="15">
        <v>484</v>
      </c>
      <c r="O10" s="18"/>
      <c r="P10" s="18" t="s">
        <v>164</v>
      </c>
    </row>
    <row r="11" spans="1:16" ht="18" customHeight="1">
      <c r="A11" s="16">
        <v>6</v>
      </c>
      <c r="B11" s="2" t="s">
        <v>26</v>
      </c>
      <c r="C11" s="4" t="s">
        <v>22</v>
      </c>
      <c r="D11" s="4" t="s">
        <v>23</v>
      </c>
      <c r="E11" s="5" t="s">
        <v>28</v>
      </c>
      <c r="F11" s="6">
        <v>19.910889999999998</v>
      </c>
      <c r="G11" s="6">
        <v>105.40652</v>
      </c>
      <c r="H11" s="18"/>
      <c r="I11" s="18"/>
      <c r="J11" s="19" t="s">
        <v>163</v>
      </c>
      <c r="K11" s="16" t="s">
        <v>162</v>
      </c>
      <c r="L11" s="7" t="s">
        <v>29</v>
      </c>
      <c r="M11" s="7">
        <v>1920</v>
      </c>
      <c r="N11" s="15">
        <v>1232</v>
      </c>
      <c r="O11" s="18"/>
      <c r="P11" s="18" t="s">
        <v>164</v>
      </c>
    </row>
    <row r="12" spans="1:16" ht="18" customHeight="1">
      <c r="A12" s="16">
        <v>7</v>
      </c>
      <c r="B12" s="2" t="s">
        <v>30</v>
      </c>
      <c r="C12" s="4" t="s">
        <v>22</v>
      </c>
      <c r="D12" s="4" t="s">
        <v>32</v>
      </c>
      <c r="E12" s="5" t="s">
        <v>33</v>
      </c>
      <c r="F12" s="6">
        <v>19.888500000000001</v>
      </c>
      <c r="G12" s="6">
        <v>105.45975</v>
      </c>
      <c r="H12" s="18"/>
      <c r="I12" s="18"/>
      <c r="J12" s="19" t="s">
        <v>163</v>
      </c>
      <c r="K12" s="16" t="s">
        <v>162</v>
      </c>
      <c r="L12" s="7" t="s">
        <v>25</v>
      </c>
      <c r="M12" s="7">
        <v>24</v>
      </c>
      <c r="N12" s="15">
        <v>13</v>
      </c>
      <c r="O12" s="18"/>
      <c r="P12" s="18" t="s">
        <v>164</v>
      </c>
    </row>
    <row r="13" spans="1:16" ht="18" customHeight="1">
      <c r="A13" s="16">
        <v>8</v>
      </c>
      <c r="B13" s="2" t="s">
        <v>30</v>
      </c>
      <c r="C13" s="4" t="s">
        <v>22</v>
      </c>
      <c r="D13" s="4" t="s">
        <v>32</v>
      </c>
      <c r="E13" s="5" t="s">
        <v>33</v>
      </c>
      <c r="F13" s="6">
        <v>19.888500000000001</v>
      </c>
      <c r="G13" s="6">
        <v>105.45975</v>
      </c>
      <c r="H13" s="18"/>
      <c r="I13" s="18"/>
      <c r="J13" s="19" t="s">
        <v>163</v>
      </c>
      <c r="K13" s="16" t="s">
        <v>162</v>
      </c>
      <c r="L13" s="7" t="s">
        <v>29</v>
      </c>
      <c r="M13" s="7">
        <v>1280</v>
      </c>
      <c r="N13" s="15">
        <v>810</v>
      </c>
      <c r="O13" s="18"/>
      <c r="P13" s="18" t="s">
        <v>164</v>
      </c>
    </row>
    <row r="14" spans="1:16" ht="18" customHeight="1">
      <c r="A14" s="16">
        <v>9</v>
      </c>
      <c r="B14" s="2" t="s">
        <v>34</v>
      </c>
      <c r="C14" s="4" t="s">
        <v>22</v>
      </c>
      <c r="D14" s="4" t="s">
        <v>32</v>
      </c>
      <c r="E14" s="5" t="s">
        <v>36</v>
      </c>
      <c r="F14" s="6">
        <v>19.875048</v>
      </c>
      <c r="G14" s="6">
        <v>105.46559499999999</v>
      </c>
      <c r="H14" s="18"/>
      <c r="I14" s="18"/>
      <c r="J14" s="19" t="s">
        <v>163</v>
      </c>
      <c r="K14" s="16" t="s">
        <v>162</v>
      </c>
      <c r="L14" s="7" t="s">
        <v>29</v>
      </c>
      <c r="M14" s="7">
        <v>1280</v>
      </c>
      <c r="N14" s="15">
        <v>581</v>
      </c>
      <c r="O14" s="18"/>
      <c r="P14" s="18" t="s">
        <v>164</v>
      </c>
    </row>
    <row r="15" spans="1:16" ht="18" customHeight="1">
      <c r="A15" s="16">
        <v>10</v>
      </c>
      <c r="B15" s="2" t="s">
        <v>37</v>
      </c>
      <c r="C15" s="4" t="s">
        <v>22</v>
      </c>
      <c r="D15" s="4" t="s">
        <v>39</v>
      </c>
      <c r="E15" s="5" t="s">
        <v>40</v>
      </c>
      <c r="F15" s="6">
        <v>19.935459999999999</v>
      </c>
      <c r="G15" s="6">
        <v>105.52529</v>
      </c>
      <c r="H15" s="18"/>
      <c r="I15" s="18"/>
      <c r="J15" s="19" t="s">
        <v>163</v>
      </c>
      <c r="K15" s="16" t="s">
        <v>162</v>
      </c>
      <c r="L15" s="7" t="s">
        <v>25</v>
      </c>
      <c r="M15" s="7">
        <v>24</v>
      </c>
      <c r="N15" s="15">
        <v>23</v>
      </c>
      <c r="O15" s="18"/>
      <c r="P15" s="18" t="s">
        <v>164</v>
      </c>
    </row>
    <row r="16" spans="1:16" ht="18" customHeight="1">
      <c r="A16" s="16">
        <v>11</v>
      </c>
      <c r="B16" s="2" t="s">
        <v>37</v>
      </c>
      <c r="C16" s="4" t="s">
        <v>22</v>
      </c>
      <c r="D16" s="4" t="s">
        <v>39</v>
      </c>
      <c r="E16" s="5" t="s">
        <v>40</v>
      </c>
      <c r="F16" s="6">
        <v>19.935459999999999</v>
      </c>
      <c r="G16" s="6">
        <v>105.52529</v>
      </c>
      <c r="H16" s="18"/>
      <c r="I16" s="18"/>
      <c r="J16" s="19" t="s">
        <v>163</v>
      </c>
      <c r="K16" s="16" t="s">
        <v>162</v>
      </c>
      <c r="L16" s="7" t="s">
        <v>25</v>
      </c>
      <c r="M16" s="7">
        <v>24</v>
      </c>
      <c r="N16" s="15">
        <v>23</v>
      </c>
      <c r="O16" s="18"/>
      <c r="P16" s="18" t="s">
        <v>164</v>
      </c>
    </row>
    <row r="17" spans="1:16" ht="18" customHeight="1">
      <c r="A17" s="16">
        <v>12</v>
      </c>
      <c r="B17" s="2" t="s">
        <v>41</v>
      </c>
      <c r="C17" s="4" t="s">
        <v>22</v>
      </c>
      <c r="D17" s="4" t="s">
        <v>39</v>
      </c>
      <c r="E17" s="5" t="s">
        <v>43</v>
      </c>
      <c r="F17" s="6">
        <v>19.928038999999998</v>
      </c>
      <c r="G17" s="6">
        <v>105.52222500000001</v>
      </c>
      <c r="H17" s="18"/>
      <c r="I17" s="18"/>
      <c r="J17" s="19" t="s">
        <v>163</v>
      </c>
      <c r="K17" s="16" t="s">
        <v>162</v>
      </c>
      <c r="L17" s="7" t="s">
        <v>29</v>
      </c>
      <c r="M17" s="7">
        <v>1280</v>
      </c>
      <c r="N17" s="15">
        <v>859</v>
      </c>
      <c r="O17" s="18"/>
      <c r="P17" s="18" t="s">
        <v>164</v>
      </c>
    </row>
    <row r="18" spans="1:16" ht="18" customHeight="1">
      <c r="A18" s="16">
        <v>13</v>
      </c>
      <c r="B18" s="2" t="s">
        <v>41</v>
      </c>
      <c r="C18" s="4" t="s">
        <v>22</v>
      </c>
      <c r="D18" s="4" t="s">
        <v>39</v>
      </c>
      <c r="E18" s="5" t="s">
        <v>43</v>
      </c>
      <c r="F18" s="6">
        <v>19.928038999999998</v>
      </c>
      <c r="G18" s="6">
        <v>105.52222500000001</v>
      </c>
      <c r="H18" s="18"/>
      <c r="I18" s="18"/>
      <c r="J18" s="19" t="s">
        <v>163</v>
      </c>
      <c r="K18" s="16" t="s">
        <v>162</v>
      </c>
      <c r="L18" s="7" t="s">
        <v>29</v>
      </c>
      <c r="M18" s="7">
        <v>1280</v>
      </c>
      <c r="N18" s="15">
        <v>1190</v>
      </c>
      <c r="O18" s="18"/>
      <c r="P18" s="18" t="s">
        <v>165</v>
      </c>
    </row>
    <row r="19" spans="1:16" ht="18" customHeight="1">
      <c r="A19" s="16">
        <v>14</v>
      </c>
      <c r="B19" s="2" t="s">
        <v>44</v>
      </c>
      <c r="C19" s="4" t="s">
        <v>22</v>
      </c>
      <c r="D19" s="4" t="s">
        <v>46</v>
      </c>
      <c r="E19" s="5" t="s">
        <v>47</v>
      </c>
      <c r="F19" s="6">
        <v>19.911840000000002</v>
      </c>
      <c r="G19" s="6">
        <v>105.54395</v>
      </c>
      <c r="H19" s="18"/>
      <c r="I19" s="18"/>
      <c r="J19" s="19" t="s">
        <v>163</v>
      </c>
      <c r="K19" s="16" t="s">
        <v>162</v>
      </c>
      <c r="L19" s="7" t="s">
        <v>25</v>
      </c>
      <c r="M19" s="7">
        <v>28</v>
      </c>
      <c r="N19" s="15">
        <v>14</v>
      </c>
      <c r="O19" s="18"/>
      <c r="P19" s="18" t="s">
        <v>165</v>
      </c>
    </row>
    <row r="20" spans="1:16" ht="18" customHeight="1">
      <c r="A20" s="16">
        <v>15</v>
      </c>
      <c r="B20" s="2" t="s">
        <v>44</v>
      </c>
      <c r="C20" s="4" t="s">
        <v>22</v>
      </c>
      <c r="D20" s="4" t="s">
        <v>46</v>
      </c>
      <c r="E20" s="5" t="s">
        <v>47</v>
      </c>
      <c r="F20" s="6">
        <v>19.911840000000002</v>
      </c>
      <c r="G20" s="6">
        <v>105.54395</v>
      </c>
      <c r="H20" s="18"/>
      <c r="I20" s="18"/>
      <c r="J20" s="19" t="s">
        <v>163</v>
      </c>
      <c r="K20" s="16" t="s">
        <v>162</v>
      </c>
      <c r="L20" s="7" t="s">
        <v>25</v>
      </c>
      <c r="M20" s="7">
        <v>24</v>
      </c>
      <c r="N20" s="15">
        <v>3</v>
      </c>
      <c r="O20" s="18"/>
      <c r="P20" s="18" t="s">
        <v>165</v>
      </c>
    </row>
    <row r="21" spans="1:16" ht="18" customHeight="1">
      <c r="A21" s="16">
        <v>16</v>
      </c>
      <c r="B21" s="2" t="s">
        <v>44</v>
      </c>
      <c r="C21" s="4" t="s">
        <v>22</v>
      </c>
      <c r="D21" s="4" t="s">
        <v>46</v>
      </c>
      <c r="E21" s="5" t="s">
        <v>47</v>
      </c>
      <c r="F21" s="6">
        <v>19.911840000000002</v>
      </c>
      <c r="G21" s="6">
        <v>105.54395</v>
      </c>
      <c r="H21" s="18"/>
      <c r="I21" s="18"/>
      <c r="J21" s="19" t="s">
        <v>163</v>
      </c>
      <c r="K21" s="16" t="s">
        <v>162</v>
      </c>
      <c r="L21" s="7" t="s">
        <v>29</v>
      </c>
      <c r="M21" s="7">
        <v>1280</v>
      </c>
      <c r="N21" s="15">
        <v>1101</v>
      </c>
      <c r="O21" s="18"/>
      <c r="P21" s="18" t="s">
        <v>165</v>
      </c>
    </row>
    <row r="22" spans="1:16" ht="18" customHeight="1">
      <c r="A22" s="16">
        <v>17</v>
      </c>
      <c r="B22" s="2" t="s">
        <v>48</v>
      </c>
      <c r="C22" s="4" t="s">
        <v>22</v>
      </c>
      <c r="D22" s="4" t="s">
        <v>50</v>
      </c>
      <c r="E22" s="5" t="s">
        <v>51</v>
      </c>
      <c r="F22" s="6">
        <v>19.95317</v>
      </c>
      <c r="G22" s="6">
        <v>105.51475000000001</v>
      </c>
      <c r="H22" s="18"/>
      <c r="I22" s="18"/>
      <c r="J22" s="19" t="s">
        <v>163</v>
      </c>
      <c r="K22" s="16" t="s">
        <v>162</v>
      </c>
      <c r="L22" s="7" t="s">
        <v>25</v>
      </c>
      <c r="M22" s="7">
        <v>24</v>
      </c>
      <c r="N22" s="15">
        <v>7</v>
      </c>
      <c r="O22" s="18"/>
      <c r="P22" s="18" t="s">
        <v>165</v>
      </c>
    </row>
    <row r="23" spans="1:16" ht="18" customHeight="1">
      <c r="A23" s="16">
        <v>18</v>
      </c>
      <c r="B23" s="2" t="s">
        <v>48</v>
      </c>
      <c r="C23" s="4" t="s">
        <v>22</v>
      </c>
      <c r="D23" s="4" t="s">
        <v>50</v>
      </c>
      <c r="E23" s="5" t="s">
        <v>51</v>
      </c>
      <c r="F23" s="6">
        <v>19.95317</v>
      </c>
      <c r="G23" s="6">
        <v>105.51475000000001</v>
      </c>
      <c r="H23" s="18"/>
      <c r="I23" s="18"/>
      <c r="J23" s="19" t="s">
        <v>163</v>
      </c>
      <c r="K23" s="16" t="s">
        <v>162</v>
      </c>
      <c r="L23" s="7" t="s">
        <v>29</v>
      </c>
      <c r="M23" s="7">
        <v>640</v>
      </c>
      <c r="N23" s="15">
        <v>173</v>
      </c>
      <c r="O23" s="18"/>
      <c r="P23" s="18" t="s">
        <v>165</v>
      </c>
    </row>
    <row r="24" spans="1:16" ht="18" customHeight="1">
      <c r="A24" s="16">
        <v>19</v>
      </c>
      <c r="B24" s="2" t="s">
        <v>52</v>
      </c>
      <c r="C24" s="4" t="s">
        <v>22</v>
      </c>
      <c r="D24" s="4" t="s">
        <v>54</v>
      </c>
      <c r="E24" s="5" t="s">
        <v>55</v>
      </c>
      <c r="F24" s="6">
        <v>19.99567</v>
      </c>
      <c r="G24" s="6">
        <v>105.48997</v>
      </c>
      <c r="H24" s="18"/>
      <c r="I24" s="18"/>
      <c r="J24" s="19" t="s">
        <v>163</v>
      </c>
      <c r="K24" s="16" t="s">
        <v>162</v>
      </c>
      <c r="L24" s="7" t="s">
        <v>25</v>
      </c>
      <c r="M24" s="7">
        <v>24</v>
      </c>
      <c r="N24" s="15">
        <v>9</v>
      </c>
      <c r="O24" s="18"/>
      <c r="P24" s="18" t="s">
        <v>165</v>
      </c>
    </row>
    <row r="25" spans="1:16" ht="18" customHeight="1">
      <c r="A25" s="16">
        <v>20</v>
      </c>
      <c r="B25" s="2" t="s">
        <v>52</v>
      </c>
      <c r="C25" s="4" t="s">
        <v>22</v>
      </c>
      <c r="D25" s="4" t="s">
        <v>54</v>
      </c>
      <c r="E25" s="5" t="s">
        <v>55</v>
      </c>
      <c r="F25" s="6">
        <v>19.99567</v>
      </c>
      <c r="G25" s="6">
        <v>105.48997</v>
      </c>
      <c r="H25" s="18"/>
      <c r="I25" s="18"/>
      <c r="J25" s="19" t="s">
        <v>163</v>
      </c>
      <c r="K25" s="16" t="s">
        <v>162</v>
      </c>
      <c r="L25" s="7" t="s">
        <v>29</v>
      </c>
      <c r="M25" s="7">
        <v>640</v>
      </c>
      <c r="N25" s="15">
        <v>588</v>
      </c>
      <c r="O25" s="18"/>
      <c r="P25" s="18" t="s">
        <v>165</v>
      </c>
    </row>
    <row r="26" spans="1:16" ht="18" customHeight="1">
      <c r="A26" s="16">
        <v>21</v>
      </c>
      <c r="B26" s="2" t="s">
        <v>56</v>
      </c>
      <c r="C26" s="4" t="s">
        <v>22</v>
      </c>
      <c r="D26" s="4" t="s">
        <v>58</v>
      </c>
      <c r="E26" s="5" t="s">
        <v>59</v>
      </c>
      <c r="F26" s="6">
        <v>19.930330000000001</v>
      </c>
      <c r="G26" s="6">
        <v>105.45233</v>
      </c>
      <c r="H26" s="18"/>
      <c r="I26" s="18"/>
      <c r="J26" s="19" t="s">
        <v>163</v>
      </c>
      <c r="K26" s="16" t="s">
        <v>162</v>
      </c>
      <c r="L26" s="7" t="s">
        <v>25</v>
      </c>
      <c r="M26" s="7">
        <v>28</v>
      </c>
      <c r="N26" s="15">
        <v>8</v>
      </c>
      <c r="O26" s="18"/>
      <c r="P26" s="18" t="s">
        <v>165</v>
      </c>
    </row>
    <row r="27" spans="1:16" ht="18" customHeight="1">
      <c r="A27" s="16">
        <v>22</v>
      </c>
      <c r="B27" s="2" t="s">
        <v>56</v>
      </c>
      <c r="C27" s="4" t="s">
        <v>22</v>
      </c>
      <c r="D27" s="4" t="s">
        <v>58</v>
      </c>
      <c r="E27" s="5" t="s">
        <v>59</v>
      </c>
      <c r="F27" s="6">
        <v>19.930330000000001</v>
      </c>
      <c r="G27" s="6">
        <v>105.45233</v>
      </c>
      <c r="H27" s="18"/>
      <c r="I27" s="18"/>
      <c r="J27" s="19" t="s">
        <v>163</v>
      </c>
      <c r="K27" s="16" t="s">
        <v>162</v>
      </c>
      <c r="L27" s="7" t="s">
        <v>25</v>
      </c>
      <c r="M27" s="7">
        <v>24</v>
      </c>
      <c r="N27" s="15">
        <v>11</v>
      </c>
      <c r="O27" s="18"/>
      <c r="P27" s="18" t="s">
        <v>165</v>
      </c>
    </row>
    <row r="28" spans="1:16" ht="18" customHeight="1">
      <c r="A28" s="16">
        <v>23</v>
      </c>
      <c r="B28" s="2" t="s">
        <v>56</v>
      </c>
      <c r="C28" s="4" t="s">
        <v>22</v>
      </c>
      <c r="D28" s="4" t="s">
        <v>58</v>
      </c>
      <c r="E28" s="5" t="s">
        <v>59</v>
      </c>
      <c r="F28" s="6">
        <v>19.930330000000001</v>
      </c>
      <c r="G28" s="6">
        <v>105.45233</v>
      </c>
      <c r="H28" s="18"/>
      <c r="I28" s="18"/>
      <c r="J28" s="19" t="s">
        <v>163</v>
      </c>
      <c r="K28" s="16" t="s">
        <v>162</v>
      </c>
      <c r="L28" s="7" t="s">
        <v>29</v>
      </c>
      <c r="M28" s="7">
        <v>1280</v>
      </c>
      <c r="N28" s="15">
        <v>822</v>
      </c>
      <c r="O28" s="18"/>
      <c r="P28" s="18" t="s">
        <v>165</v>
      </c>
    </row>
    <row r="29" spans="1:16" ht="18" customHeight="1">
      <c r="A29" s="16">
        <v>24</v>
      </c>
      <c r="B29" s="2" t="s">
        <v>60</v>
      </c>
      <c r="C29" s="4" t="s">
        <v>22</v>
      </c>
      <c r="D29" s="4" t="s">
        <v>62</v>
      </c>
      <c r="E29" s="5" t="s">
        <v>63</v>
      </c>
      <c r="F29" s="6">
        <v>19.94014</v>
      </c>
      <c r="G29" s="6">
        <v>105.47556</v>
      </c>
      <c r="H29" s="18"/>
      <c r="I29" s="18"/>
      <c r="J29" s="19" t="s">
        <v>163</v>
      </c>
      <c r="K29" s="16" t="s">
        <v>162</v>
      </c>
      <c r="L29" s="7" t="s">
        <v>25</v>
      </c>
      <c r="M29" s="7">
        <v>24</v>
      </c>
      <c r="N29" s="15">
        <v>12</v>
      </c>
      <c r="O29" s="18"/>
      <c r="P29" s="18" t="s">
        <v>166</v>
      </c>
    </row>
    <row r="30" spans="1:16" ht="18" customHeight="1">
      <c r="A30" s="16">
        <v>25</v>
      </c>
      <c r="B30" s="2" t="s">
        <v>60</v>
      </c>
      <c r="C30" s="4" t="s">
        <v>22</v>
      </c>
      <c r="D30" s="4" t="s">
        <v>62</v>
      </c>
      <c r="E30" s="5" t="s">
        <v>63</v>
      </c>
      <c r="F30" s="6">
        <v>19.94014</v>
      </c>
      <c r="G30" s="6">
        <v>105.47556</v>
      </c>
      <c r="H30" s="18"/>
      <c r="I30" s="18"/>
      <c r="J30" s="19" t="s">
        <v>163</v>
      </c>
      <c r="K30" s="16" t="s">
        <v>162</v>
      </c>
      <c r="L30" s="7" t="s">
        <v>29</v>
      </c>
      <c r="M30" s="7">
        <v>320</v>
      </c>
      <c r="N30" s="15">
        <v>180</v>
      </c>
      <c r="O30" s="18"/>
      <c r="P30" s="18" t="s">
        <v>166</v>
      </c>
    </row>
    <row r="31" spans="1:16" ht="18" customHeight="1">
      <c r="A31" s="16">
        <v>26</v>
      </c>
      <c r="B31" s="2" t="s">
        <v>64</v>
      </c>
      <c r="C31" s="4" t="s">
        <v>22</v>
      </c>
      <c r="D31" s="4" t="s">
        <v>66</v>
      </c>
      <c r="E31" s="5" t="s">
        <v>67</v>
      </c>
      <c r="F31" s="6">
        <v>19.921559999999999</v>
      </c>
      <c r="G31" s="6">
        <v>105.43526</v>
      </c>
      <c r="H31" s="18"/>
      <c r="I31" s="18"/>
      <c r="J31" s="19" t="s">
        <v>163</v>
      </c>
      <c r="K31" s="16" t="s">
        <v>162</v>
      </c>
      <c r="L31" s="7" t="s">
        <v>29</v>
      </c>
      <c r="M31" s="7">
        <v>640</v>
      </c>
      <c r="N31" s="15">
        <v>497</v>
      </c>
      <c r="O31" s="18"/>
      <c r="P31" s="18" t="s">
        <v>166</v>
      </c>
    </row>
    <row r="32" spans="1:16" ht="18" customHeight="1">
      <c r="A32" s="16">
        <v>27</v>
      </c>
      <c r="B32" s="2" t="s">
        <v>68</v>
      </c>
      <c r="C32" s="4" t="s">
        <v>22</v>
      </c>
      <c r="D32" s="4" t="s">
        <v>70</v>
      </c>
      <c r="E32" s="5" t="s">
        <v>71</v>
      </c>
      <c r="F32" s="6">
        <v>19.893550000000001</v>
      </c>
      <c r="G32" s="6">
        <v>105.55544</v>
      </c>
      <c r="H32" s="18"/>
      <c r="I32" s="18"/>
      <c r="J32" s="19" t="s">
        <v>163</v>
      </c>
      <c r="K32" s="16" t="s">
        <v>162</v>
      </c>
      <c r="L32" s="7" t="s">
        <v>25</v>
      </c>
      <c r="M32" s="7">
        <v>28</v>
      </c>
      <c r="N32" s="15">
        <v>9</v>
      </c>
      <c r="O32" s="18"/>
      <c r="P32" s="18" t="s">
        <v>166</v>
      </c>
    </row>
    <row r="33" spans="1:16" ht="18" customHeight="1">
      <c r="A33" s="16">
        <v>28</v>
      </c>
      <c r="B33" s="2" t="s">
        <v>68</v>
      </c>
      <c r="C33" s="4" t="s">
        <v>22</v>
      </c>
      <c r="D33" s="4" t="s">
        <v>70</v>
      </c>
      <c r="E33" s="5" t="s">
        <v>71</v>
      </c>
      <c r="F33" s="6">
        <v>19.893550000000001</v>
      </c>
      <c r="G33" s="6">
        <v>105.55544</v>
      </c>
      <c r="H33" s="18"/>
      <c r="I33" s="18"/>
      <c r="J33" s="19" t="s">
        <v>163</v>
      </c>
      <c r="K33" s="16" t="s">
        <v>162</v>
      </c>
      <c r="L33" s="7" t="s">
        <v>25</v>
      </c>
      <c r="M33" s="7">
        <v>24</v>
      </c>
      <c r="N33" s="15">
        <v>5</v>
      </c>
      <c r="O33" s="18"/>
      <c r="P33" s="18" t="s">
        <v>166</v>
      </c>
    </row>
    <row r="34" spans="1:16" ht="18" customHeight="1">
      <c r="A34" s="16">
        <v>29</v>
      </c>
      <c r="B34" s="2" t="s">
        <v>68</v>
      </c>
      <c r="C34" s="4" t="s">
        <v>22</v>
      </c>
      <c r="D34" s="4" t="s">
        <v>70</v>
      </c>
      <c r="E34" s="5" t="s">
        <v>71</v>
      </c>
      <c r="F34" s="6">
        <v>19.893550000000001</v>
      </c>
      <c r="G34" s="6">
        <v>105.55544</v>
      </c>
      <c r="H34" s="18"/>
      <c r="I34" s="18"/>
      <c r="J34" s="19" t="s">
        <v>163</v>
      </c>
      <c r="K34" s="16" t="s">
        <v>162</v>
      </c>
      <c r="L34" s="7" t="s">
        <v>29</v>
      </c>
      <c r="M34" s="7">
        <v>640</v>
      </c>
      <c r="N34" s="15">
        <v>323</v>
      </c>
      <c r="O34" s="18"/>
      <c r="P34" s="18" t="s">
        <v>166</v>
      </c>
    </row>
    <row r="35" spans="1:16" ht="18" customHeight="1">
      <c r="A35" s="16">
        <v>30</v>
      </c>
      <c r="B35" s="2" t="s">
        <v>72</v>
      </c>
      <c r="C35" s="4" t="s">
        <v>22</v>
      </c>
      <c r="D35" s="4" t="s">
        <v>74</v>
      </c>
      <c r="E35" s="5" t="s">
        <v>75</v>
      </c>
      <c r="F35" s="6">
        <v>19.9072</v>
      </c>
      <c r="G35" s="6">
        <v>105.3935</v>
      </c>
      <c r="H35" s="18"/>
      <c r="I35" s="18"/>
      <c r="J35" s="19" t="s">
        <v>163</v>
      </c>
      <c r="K35" s="16" t="s">
        <v>162</v>
      </c>
      <c r="L35" s="7" t="s">
        <v>25</v>
      </c>
      <c r="M35" s="7">
        <v>24</v>
      </c>
      <c r="N35" s="15">
        <v>6</v>
      </c>
      <c r="O35" s="18"/>
      <c r="P35" s="18" t="s">
        <v>166</v>
      </c>
    </row>
    <row r="36" spans="1:16" ht="18" customHeight="1">
      <c r="A36" s="16">
        <v>31</v>
      </c>
      <c r="B36" s="2" t="s">
        <v>76</v>
      </c>
      <c r="C36" s="4" t="s">
        <v>22</v>
      </c>
      <c r="D36" s="4" t="s">
        <v>74</v>
      </c>
      <c r="E36" s="5" t="s">
        <v>78</v>
      </c>
      <c r="F36" s="6">
        <v>19.891529999999999</v>
      </c>
      <c r="G36" s="6">
        <v>105.40504</v>
      </c>
      <c r="H36" s="18"/>
      <c r="I36" s="18"/>
      <c r="J36" s="19" t="s">
        <v>163</v>
      </c>
      <c r="K36" s="16" t="s">
        <v>162</v>
      </c>
      <c r="L36" s="7" t="s">
        <v>29</v>
      </c>
      <c r="M36" s="7">
        <v>640</v>
      </c>
      <c r="N36" s="15">
        <v>303</v>
      </c>
      <c r="O36" s="18"/>
      <c r="P36" s="18" t="s">
        <v>166</v>
      </c>
    </row>
    <row r="37" spans="1:16" ht="18" customHeight="1">
      <c r="A37" s="16">
        <v>32</v>
      </c>
      <c r="B37" s="2" t="s">
        <v>72</v>
      </c>
      <c r="C37" s="4" t="s">
        <v>22</v>
      </c>
      <c r="D37" s="4" t="s">
        <v>74</v>
      </c>
      <c r="E37" s="5" t="s">
        <v>75</v>
      </c>
      <c r="F37" s="6">
        <v>19.9072</v>
      </c>
      <c r="G37" s="6">
        <v>105.3935</v>
      </c>
      <c r="H37" s="18"/>
      <c r="I37" s="18"/>
      <c r="J37" s="19" t="s">
        <v>163</v>
      </c>
      <c r="K37" s="16" t="s">
        <v>162</v>
      </c>
      <c r="L37" s="7" t="s">
        <v>29</v>
      </c>
      <c r="M37" s="7">
        <v>1280</v>
      </c>
      <c r="N37" s="15">
        <v>1004</v>
      </c>
      <c r="O37" s="18"/>
      <c r="P37" s="18" t="s">
        <v>166</v>
      </c>
    </row>
    <row r="38" spans="1:16" ht="18" customHeight="1">
      <c r="A38" s="16">
        <v>33</v>
      </c>
      <c r="B38" s="2" t="s">
        <v>79</v>
      </c>
      <c r="C38" s="4" t="s">
        <v>22</v>
      </c>
      <c r="D38" s="4" t="s">
        <v>81</v>
      </c>
      <c r="E38" s="5" t="s">
        <v>82</v>
      </c>
      <c r="F38" s="6">
        <v>19.982520000000001</v>
      </c>
      <c r="G38" s="6">
        <v>105.44636</v>
      </c>
      <c r="H38" s="18"/>
      <c r="I38" s="18"/>
      <c r="J38" s="19" t="s">
        <v>163</v>
      </c>
      <c r="K38" s="16" t="s">
        <v>162</v>
      </c>
      <c r="L38" s="7" t="s">
        <v>25</v>
      </c>
      <c r="M38" s="7">
        <v>24</v>
      </c>
      <c r="N38" s="15">
        <v>9</v>
      </c>
      <c r="O38" s="18"/>
      <c r="P38" s="18" t="s">
        <v>166</v>
      </c>
    </row>
    <row r="39" spans="1:16" ht="18" customHeight="1">
      <c r="A39" s="16">
        <v>34</v>
      </c>
      <c r="B39" s="2" t="s">
        <v>83</v>
      </c>
      <c r="C39" s="4" t="s">
        <v>22</v>
      </c>
      <c r="D39" s="4" t="s">
        <v>81</v>
      </c>
      <c r="E39" s="5" t="s">
        <v>85</v>
      </c>
      <c r="F39" s="6">
        <v>19.955289</v>
      </c>
      <c r="G39" s="6">
        <v>105.46365</v>
      </c>
      <c r="H39" s="18"/>
      <c r="I39" s="18"/>
      <c r="J39" s="19" t="s">
        <v>163</v>
      </c>
      <c r="K39" s="16" t="s">
        <v>162</v>
      </c>
      <c r="L39" s="7" t="s">
        <v>25</v>
      </c>
      <c r="M39" s="7">
        <v>24</v>
      </c>
      <c r="N39" s="15">
        <v>17</v>
      </c>
      <c r="O39" s="18"/>
      <c r="P39" s="18" t="s">
        <v>166</v>
      </c>
    </row>
    <row r="40" spans="1:16" ht="18" customHeight="1">
      <c r="A40" s="16">
        <v>35</v>
      </c>
      <c r="B40" s="2" t="s">
        <v>79</v>
      </c>
      <c r="C40" s="4" t="s">
        <v>22</v>
      </c>
      <c r="D40" s="4" t="s">
        <v>81</v>
      </c>
      <c r="E40" s="5" t="s">
        <v>82</v>
      </c>
      <c r="F40" s="6">
        <v>19.982520000000001</v>
      </c>
      <c r="G40" s="6">
        <v>105.44636</v>
      </c>
      <c r="H40" s="18"/>
      <c r="I40" s="18"/>
      <c r="J40" s="19" t="s">
        <v>163</v>
      </c>
      <c r="K40" s="16" t="s">
        <v>162</v>
      </c>
      <c r="L40" s="7" t="s">
        <v>29</v>
      </c>
      <c r="M40" s="7">
        <v>640</v>
      </c>
      <c r="N40" s="15">
        <v>398</v>
      </c>
      <c r="O40" s="18"/>
      <c r="P40" s="18" t="s">
        <v>166</v>
      </c>
    </row>
    <row r="41" spans="1:16" ht="18" customHeight="1">
      <c r="A41" s="16">
        <v>36</v>
      </c>
      <c r="B41" s="2" t="s">
        <v>83</v>
      </c>
      <c r="C41" s="4" t="s">
        <v>22</v>
      </c>
      <c r="D41" s="4" t="s">
        <v>81</v>
      </c>
      <c r="E41" s="5" t="s">
        <v>85</v>
      </c>
      <c r="F41" s="6">
        <v>19.955289</v>
      </c>
      <c r="G41" s="6">
        <v>105.46365</v>
      </c>
      <c r="H41" s="18"/>
      <c r="I41" s="18"/>
      <c r="J41" s="19" t="s">
        <v>163</v>
      </c>
      <c r="K41" s="16" t="s">
        <v>162</v>
      </c>
      <c r="L41" s="7" t="s">
        <v>29</v>
      </c>
      <c r="M41" s="7">
        <v>640</v>
      </c>
      <c r="N41" s="15">
        <v>514</v>
      </c>
      <c r="O41" s="18"/>
      <c r="P41" s="18" t="s">
        <v>166</v>
      </c>
    </row>
    <row r="42" spans="1:16" ht="18" customHeight="1">
      <c r="A42" s="16">
        <v>37</v>
      </c>
      <c r="B42" s="2" t="s">
        <v>86</v>
      </c>
      <c r="C42" s="4" t="s">
        <v>22</v>
      </c>
      <c r="D42" s="4" t="s">
        <v>88</v>
      </c>
      <c r="E42" s="5" t="s">
        <v>89</v>
      </c>
      <c r="F42" s="6">
        <v>19.947839999999999</v>
      </c>
      <c r="G42" s="6">
        <v>105.58110000000001</v>
      </c>
      <c r="H42" s="18"/>
      <c r="I42" s="18"/>
      <c r="J42" s="19" t="s">
        <v>163</v>
      </c>
      <c r="K42" s="16" t="s">
        <v>162</v>
      </c>
      <c r="L42" s="7" t="s">
        <v>25</v>
      </c>
      <c r="M42" s="7">
        <v>24</v>
      </c>
      <c r="N42" s="15">
        <v>12</v>
      </c>
      <c r="O42" s="18"/>
      <c r="P42" s="18" t="s">
        <v>166</v>
      </c>
    </row>
    <row r="43" spans="1:16" ht="18" customHeight="1">
      <c r="A43" s="16">
        <v>38</v>
      </c>
      <c r="B43" s="2" t="s">
        <v>86</v>
      </c>
      <c r="C43" s="4" t="s">
        <v>22</v>
      </c>
      <c r="D43" s="4" t="s">
        <v>88</v>
      </c>
      <c r="E43" s="5" t="s">
        <v>89</v>
      </c>
      <c r="F43" s="6">
        <v>19.947839999999999</v>
      </c>
      <c r="G43" s="6">
        <v>105.58110000000001</v>
      </c>
      <c r="H43" s="18"/>
      <c r="I43" s="18"/>
      <c r="J43" s="19" t="s">
        <v>163</v>
      </c>
      <c r="K43" s="16" t="s">
        <v>162</v>
      </c>
      <c r="L43" s="7" t="s">
        <v>29</v>
      </c>
      <c r="M43" s="7">
        <v>960</v>
      </c>
      <c r="N43" s="15">
        <v>811</v>
      </c>
      <c r="O43" s="18"/>
      <c r="P43" s="18" t="s">
        <v>166</v>
      </c>
    </row>
    <row r="44" spans="1:16" ht="18" customHeight="1">
      <c r="A44" s="16">
        <v>39</v>
      </c>
      <c r="B44" s="2" t="s">
        <v>90</v>
      </c>
      <c r="C44" s="4" t="s">
        <v>22</v>
      </c>
      <c r="D44" s="4" t="s">
        <v>92</v>
      </c>
      <c r="E44" s="5" t="s">
        <v>93</v>
      </c>
      <c r="F44" s="6">
        <v>19.902429999999999</v>
      </c>
      <c r="G44" s="6">
        <v>105.38352</v>
      </c>
      <c r="H44" s="18"/>
      <c r="I44" s="18"/>
      <c r="J44" s="19" t="s">
        <v>163</v>
      </c>
      <c r="K44" s="16" t="s">
        <v>162</v>
      </c>
      <c r="L44" s="7" t="s">
        <v>25</v>
      </c>
      <c r="M44" s="7">
        <v>28</v>
      </c>
      <c r="N44" s="15">
        <v>16</v>
      </c>
      <c r="O44" s="18"/>
      <c r="P44" s="18" t="s">
        <v>166</v>
      </c>
    </row>
    <row r="45" spans="1:16" ht="18" customHeight="1">
      <c r="A45" s="16">
        <v>40</v>
      </c>
      <c r="B45" s="2" t="s">
        <v>90</v>
      </c>
      <c r="C45" s="4" t="s">
        <v>22</v>
      </c>
      <c r="D45" s="4" t="s">
        <v>92</v>
      </c>
      <c r="E45" s="5" t="s">
        <v>93</v>
      </c>
      <c r="F45" s="6">
        <v>19.902429999999999</v>
      </c>
      <c r="G45" s="6">
        <v>105.38352</v>
      </c>
      <c r="H45" s="18"/>
      <c r="I45" s="18"/>
      <c r="J45" s="19" t="s">
        <v>163</v>
      </c>
      <c r="K45" s="16" t="s">
        <v>162</v>
      </c>
      <c r="L45" s="7" t="s">
        <v>29</v>
      </c>
      <c r="M45" s="7">
        <v>1280</v>
      </c>
      <c r="N45" s="15">
        <v>1251</v>
      </c>
      <c r="O45" s="18"/>
      <c r="P45" s="18" t="s">
        <v>166</v>
      </c>
    </row>
    <row r="46" spans="1:16" ht="18" customHeight="1">
      <c r="A46" s="16">
        <v>41</v>
      </c>
      <c r="B46" s="2" t="s">
        <v>94</v>
      </c>
      <c r="C46" s="4" t="s">
        <v>22</v>
      </c>
      <c r="D46" s="4" t="s">
        <v>96</v>
      </c>
      <c r="E46" s="5" t="s">
        <v>97</v>
      </c>
      <c r="F46" s="6">
        <v>19.944459999999999</v>
      </c>
      <c r="G46" s="6">
        <v>105.49672</v>
      </c>
      <c r="H46" s="18"/>
      <c r="I46" s="18"/>
      <c r="J46" s="19" t="s">
        <v>163</v>
      </c>
      <c r="K46" s="16" t="s">
        <v>162</v>
      </c>
      <c r="L46" s="7" t="s">
        <v>29</v>
      </c>
      <c r="M46" s="7">
        <v>1280</v>
      </c>
      <c r="N46" s="15">
        <v>842</v>
      </c>
      <c r="O46" s="18"/>
      <c r="P46" s="18" t="s">
        <v>166</v>
      </c>
    </row>
    <row r="47" spans="1:16" ht="18" customHeight="1">
      <c r="A47" s="16">
        <v>42</v>
      </c>
      <c r="B47" s="2" t="s">
        <v>98</v>
      </c>
      <c r="C47" s="4" t="s">
        <v>22</v>
      </c>
      <c r="D47" s="4" t="s">
        <v>100</v>
      </c>
      <c r="E47" s="5" t="s">
        <v>101</v>
      </c>
      <c r="F47" s="6">
        <v>19.938140000000001</v>
      </c>
      <c r="G47" s="6">
        <v>105.54835</v>
      </c>
      <c r="H47" s="18"/>
      <c r="I47" s="18"/>
      <c r="J47" s="19" t="s">
        <v>163</v>
      </c>
      <c r="K47" s="16" t="s">
        <v>162</v>
      </c>
      <c r="L47" s="7" t="s">
        <v>25</v>
      </c>
      <c r="M47" s="7">
        <v>28</v>
      </c>
      <c r="N47" s="15">
        <v>12</v>
      </c>
      <c r="O47" s="18"/>
      <c r="P47" s="18" t="s">
        <v>166</v>
      </c>
    </row>
    <row r="48" spans="1:16" ht="18" customHeight="1">
      <c r="A48" s="16">
        <v>43</v>
      </c>
      <c r="B48" s="2" t="s">
        <v>102</v>
      </c>
      <c r="C48" s="4" t="s">
        <v>22</v>
      </c>
      <c r="D48" s="4" t="s">
        <v>100</v>
      </c>
      <c r="E48" s="5" t="s">
        <v>104</v>
      </c>
      <c r="F48" s="6">
        <v>19.930499999999999</v>
      </c>
      <c r="G48" s="6">
        <v>105.57109</v>
      </c>
      <c r="H48" s="18"/>
      <c r="I48" s="18"/>
      <c r="J48" s="19" t="s">
        <v>163</v>
      </c>
      <c r="K48" s="16" t="s">
        <v>162</v>
      </c>
      <c r="L48" s="7" t="s">
        <v>25</v>
      </c>
      <c r="M48" s="7">
        <v>28</v>
      </c>
      <c r="N48" s="15">
        <v>6</v>
      </c>
      <c r="O48" s="18"/>
      <c r="P48" s="18" t="s">
        <v>166</v>
      </c>
    </row>
    <row r="49" spans="1:16" ht="18" customHeight="1">
      <c r="A49" s="16">
        <v>44</v>
      </c>
      <c r="B49" s="2" t="s">
        <v>98</v>
      </c>
      <c r="C49" s="4" t="s">
        <v>22</v>
      </c>
      <c r="D49" s="4" t="s">
        <v>100</v>
      </c>
      <c r="E49" s="5" t="s">
        <v>101</v>
      </c>
      <c r="F49" s="6">
        <v>19.938140000000001</v>
      </c>
      <c r="G49" s="6">
        <v>105.54835</v>
      </c>
      <c r="H49" s="18"/>
      <c r="I49" s="18"/>
      <c r="J49" s="19" t="s">
        <v>163</v>
      </c>
      <c r="K49" s="16" t="s">
        <v>162</v>
      </c>
      <c r="L49" s="7" t="s">
        <v>29</v>
      </c>
      <c r="M49" s="7">
        <v>640</v>
      </c>
      <c r="N49" s="15">
        <v>481</v>
      </c>
      <c r="O49" s="18"/>
      <c r="P49" s="18" t="s">
        <v>166</v>
      </c>
    </row>
    <row r="50" spans="1:16" ht="18" customHeight="1">
      <c r="A50" s="16">
        <v>45</v>
      </c>
      <c r="B50" s="2" t="s">
        <v>102</v>
      </c>
      <c r="C50" s="4" t="s">
        <v>22</v>
      </c>
      <c r="D50" s="4" t="s">
        <v>100</v>
      </c>
      <c r="E50" s="5" t="s">
        <v>104</v>
      </c>
      <c r="F50" s="6">
        <v>19.930499999999999</v>
      </c>
      <c r="G50" s="6">
        <v>105.57109</v>
      </c>
      <c r="H50" s="18"/>
      <c r="I50" s="18"/>
      <c r="J50" s="19" t="s">
        <v>163</v>
      </c>
      <c r="K50" s="16" t="s">
        <v>162</v>
      </c>
      <c r="L50" s="7" t="s">
        <v>29</v>
      </c>
      <c r="M50" s="7">
        <v>1280</v>
      </c>
      <c r="N50" s="15">
        <v>579</v>
      </c>
      <c r="O50" s="18"/>
      <c r="P50" s="18" t="s">
        <v>166</v>
      </c>
    </row>
    <row r="51" spans="1:16" ht="18" customHeight="1">
      <c r="A51" s="16">
        <v>46</v>
      </c>
      <c r="B51" s="2" t="s">
        <v>105</v>
      </c>
      <c r="C51" s="4" t="s">
        <v>22</v>
      </c>
      <c r="D51" s="4" t="s">
        <v>107</v>
      </c>
      <c r="E51" s="5" t="s">
        <v>108</v>
      </c>
      <c r="F51" s="6">
        <v>19.916882999999999</v>
      </c>
      <c r="G51" s="6">
        <v>105.477605</v>
      </c>
      <c r="H51" s="18"/>
      <c r="I51" s="18"/>
      <c r="J51" s="19" t="s">
        <v>163</v>
      </c>
      <c r="K51" s="16" t="s">
        <v>162</v>
      </c>
      <c r="L51" s="7" t="s">
        <v>25</v>
      </c>
      <c r="M51" s="7">
        <v>28</v>
      </c>
      <c r="N51" s="15">
        <v>5</v>
      </c>
      <c r="O51" s="18"/>
      <c r="P51" s="18" t="s">
        <v>166</v>
      </c>
    </row>
    <row r="52" spans="1:16" ht="18" customHeight="1">
      <c r="A52" s="16">
        <v>47</v>
      </c>
      <c r="B52" s="2" t="s">
        <v>105</v>
      </c>
      <c r="C52" s="4" t="s">
        <v>22</v>
      </c>
      <c r="D52" s="4" t="s">
        <v>107</v>
      </c>
      <c r="E52" s="5" t="s">
        <v>108</v>
      </c>
      <c r="F52" s="6">
        <v>19.916882999999999</v>
      </c>
      <c r="G52" s="6">
        <v>105.477605</v>
      </c>
      <c r="H52" s="18"/>
      <c r="I52" s="18"/>
      <c r="J52" s="19" t="s">
        <v>163</v>
      </c>
      <c r="K52" s="16" t="s">
        <v>162</v>
      </c>
      <c r="L52" s="7" t="s">
        <v>25</v>
      </c>
      <c r="M52" s="7">
        <v>24</v>
      </c>
      <c r="N52" s="15">
        <v>10</v>
      </c>
      <c r="O52" s="18"/>
      <c r="P52" s="18" t="s">
        <v>166</v>
      </c>
    </row>
    <row r="53" spans="1:16" ht="18" customHeight="1">
      <c r="A53" s="16">
        <v>48</v>
      </c>
      <c r="B53" s="2" t="s">
        <v>105</v>
      </c>
      <c r="C53" s="4" t="s">
        <v>22</v>
      </c>
      <c r="D53" s="4" t="s">
        <v>107</v>
      </c>
      <c r="E53" s="5" t="s">
        <v>108</v>
      </c>
      <c r="F53" s="6">
        <v>19.916882999999999</v>
      </c>
      <c r="G53" s="6">
        <v>105.477605</v>
      </c>
      <c r="H53" s="18"/>
      <c r="I53" s="18"/>
      <c r="J53" s="19" t="s">
        <v>163</v>
      </c>
      <c r="K53" s="16" t="s">
        <v>162</v>
      </c>
      <c r="L53" s="7" t="s">
        <v>29</v>
      </c>
      <c r="M53" s="7">
        <v>640</v>
      </c>
      <c r="N53" s="15">
        <v>392</v>
      </c>
      <c r="O53" s="18"/>
      <c r="P53" s="18" t="s">
        <v>166</v>
      </c>
    </row>
    <row r="54" spans="1:16" ht="18" customHeight="1">
      <c r="A54" s="16">
        <v>49</v>
      </c>
      <c r="B54" s="2" t="s">
        <v>109</v>
      </c>
      <c r="C54" s="4" t="s">
        <v>22</v>
      </c>
      <c r="D54" s="4" t="s">
        <v>111</v>
      </c>
      <c r="E54" s="5" t="s">
        <v>112</v>
      </c>
      <c r="F54" s="6">
        <v>19.955234999999998</v>
      </c>
      <c r="G54" s="6">
        <v>105.542776</v>
      </c>
      <c r="H54" s="18"/>
      <c r="I54" s="18"/>
      <c r="J54" s="19" t="s">
        <v>163</v>
      </c>
      <c r="K54" s="16" t="s">
        <v>162</v>
      </c>
      <c r="L54" s="7" t="s">
        <v>25</v>
      </c>
      <c r="M54" s="7">
        <v>24</v>
      </c>
      <c r="N54" s="15">
        <v>12</v>
      </c>
      <c r="O54" s="18"/>
      <c r="P54" s="18" t="s">
        <v>166</v>
      </c>
    </row>
    <row r="55" spans="1:16" ht="18" customHeight="1">
      <c r="A55" s="16">
        <v>50</v>
      </c>
      <c r="B55" s="2" t="s">
        <v>109</v>
      </c>
      <c r="C55" s="4" t="s">
        <v>22</v>
      </c>
      <c r="D55" s="4" t="s">
        <v>111</v>
      </c>
      <c r="E55" s="5" t="s">
        <v>112</v>
      </c>
      <c r="F55" s="6">
        <v>19.955234999999998</v>
      </c>
      <c r="G55" s="6">
        <v>105.542776</v>
      </c>
      <c r="H55" s="18"/>
      <c r="I55" s="18"/>
      <c r="J55" s="19" t="s">
        <v>163</v>
      </c>
      <c r="K55" s="16" t="s">
        <v>162</v>
      </c>
      <c r="L55" s="7" t="s">
        <v>25</v>
      </c>
      <c r="M55" s="7">
        <v>28</v>
      </c>
      <c r="N55" s="15">
        <v>24</v>
      </c>
      <c r="O55" s="18"/>
      <c r="P55" s="18" t="s">
        <v>166</v>
      </c>
    </row>
    <row r="56" spans="1:16" ht="18" customHeight="1">
      <c r="A56" s="16">
        <v>51</v>
      </c>
      <c r="B56" s="2" t="s">
        <v>109</v>
      </c>
      <c r="C56" s="4" t="s">
        <v>22</v>
      </c>
      <c r="D56" s="4" t="s">
        <v>111</v>
      </c>
      <c r="E56" s="5" t="s">
        <v>112</v>
      </c>
      <c r="F56" s="6">
        <v>19.955234999999998</v>
      </c>
      <c r="G56" s="6">
        <v>105.542776</v>
      </c>
      <c r="H56" s="18"/>
      <c r="I56" s="18"/>
      <c r="J56" s="19" t="s">
        <v>163</v>
      </c>
      <c r="K56" s="16" t="s">
        <v>162</v>
      </c>
      <c r="L56" s="7" t="s">
        <v>29</v>
      </c>
      <c r="M56" s="7">
        <v>1280</v>
      </c>
      <c r="N56" s="15">
        <v>1233</v>
      </c>
      <c r="O56" s="18"/>
      <c r="P56" s="18" t="s">
        <v>166</v>
      </c>
    </row>
    <row r="57" spans="1:16" ht="18" customHeight="1">
      <c r="A57" s="16">
        <v>52</v>
      </c>
      <c r="B57" s="2" t="s">
        <v>113</v>
      </c>
      <c r="C57" s="4" t="s">
        <v>22</v>
      </c>
      <c r="D57" s="4" t="s">
        <v>115</v>
      </c>
      <c r="E57" s="5" t="s">
        <v>116</v>
      </c>
      <c r="F57" s="6">
        <v>19.968350000000001</v>
      </c>
      <c r="G57" s="6">
        <v>105.52937</v>
      </c>
      <c r="H57" s="18"/>
      <c r="I57" s="18"/>
      <c r="J57" s="19" t="s">
        <v>163</v>
      </c>
      <c r="K57" s="16" t="s">
        <v>162</v>
      </c>
      <c r="L57" s="7" t="s">
        <v>25</v>
      </c>
      <c r="M57" s="7">
        <v>24</v>
      </c>
      <c r="N57" s="15">
        <v>7</v>
      </c>
      <c r="O57" s="18"/>
      <c r="P57" s="18" t="s">
        <v>166</v>
      </c>
    </row>
    <row r="58" spans="1:16" ht="18" customHeight="1">
      <c r="A58" s="16">
        <v>53</v>
      </c>
      <c r="B58" s="2" t="s">
        <v>113</v>
      </c>
      <c r="C58" s="4" t="s">
        <v>22</v>
      </c>
      <c r="D58" s="4" t="s">
        <v>115</v>
      </c>
      <c r="E58" s="5" t="s">
        <v>116</v>
      </c>
      <c r="F58" s="6">
        <v>19.968350000000001</v>
      </c>
      <c r="G58" s="6">
        <v>105.52937</v>
      </c>
      <c r="H58" s="18"/>
      <c r="I58" s="18"/>
      <c r="J58" s="19" t="s">
        <v>163</v>
      </c>
      <c r="K58" s="16" t="s">
        <v>162</v>
      </c>
      <c r="L58" s="7" t="s">
        <v>29</v>
      </c>
      <c r="M58" s="7">
        <v>640</v>
      </c>
      <c r="N58" s="15">
        <v>522</v>
      </c>
      <c r="O58" s="18"/>
      <c r="P58" s="18" t="s">
        <v>166</v>
      </c>
    </row>
    <row r="59" spans="1:16" ht="18" customHeight="1">
      <c r="A59" s="16">
        <v>54</v>
      </c>
      <c r="B59" s="2" t="s">
        <v>117</v>
      </c>
      <c r="C59" s="4" t="s">
        <v>22</v>
      </c>
      <c r="D59" s="4" t="s">
        <v>119</v>
      </c>
      <c r="E59" s="5" t="s">
        <v>120</v>
      </c>
      <c r="F59" s="6">
        <v>19.902360000000002</v>
      </c>
      <c r="G59" s="6">
        <v>105.57053000000001</v>
      </c>
      <c r="H59" s="18"/>
      <c r="I59" s="18"/>
      <c r="J59" s="19" t="s">
        <v>163</v>
      </c>
      <c r="K59" s="16" t="s">
        <v>162</v>
      </c>
      <c r="L59" s="7" t="s">
        <v>29</v>
      </c>
      <c r="M59" s="7">
        <v>320</v>
      </c>
      <c r="N59" s="15">
        <v>171</v>
      </c>
      <c r="O59" s="18"/>
      <c r="P59" s="18" t="s">
        <v>166</v>
      </c>
    </row>
    <row r="60" spans="1:16" ht="18" customHeight="1">
      <c r="A60" s="16">
        <v>55</v>
      </c>
      <c r="B60" s="2" t="s">
        <v>121</v>
      </c>
      <c r="C60" s="4" t="s">
        <v>22</v>
      </c>
      <c r="D60" s="4" t="s">
        <v>123</v>
      </c>
      <c r="E60" s="5" t="s">
        <v>124</v>
      </c>
      <c r="F60" s="6">
        <v>19.865680000000001</v>
      </c>
      <c r="G60" s="6">
        <v>105.4135</v>
      </c>
      <c r="H60" s="18"/>
      <c r="I60" s="18"/>
      <c r="J60" s="19" t="s">
        <v>163</v>
      </c>
      <c r="K60" s="16" t="s">
        <v>162</v>
      </c>
      <c r="L60" s="7" t="s">
        <v>25</v>
      </c>
      <c r="M60" s="7">
        <v>24</v>
      </c>
      <c r="N60" s="15">
        <v>15</v>
      </c>
      <c r="O60" s="18"/>
      <c r="P60" s="18" t="s">
        <v>166</v>
      </c>
    </row>
    <row r="61" spans="1:16" ht="18" customHeight="1">
      <c r="A61" s="16">
        <v>56</v>
      </c>
      <c r="B61" s="2" t="s">
        <v>121</v>
      </c>
      <c r="C61" s="4" t="s">
        <v>22</v>
      </c>
      <c r="D61" s="4" t="s">
        <v>123</v>
      </c>
      <c r="E61" s="5" t="s">
        <v>124</v>
      </c>
      <c r="F61" s="6">
        <v>19.865680000000001</v>
      </c>
      <c r="G61" s="6">
        <v>105.4135</v>
      </c>
      <c r="H61" s="18"/>
      <c r="I61" s="18"/>
      <c r="J61" s="19" t="s">
        <v>163</v>
      </c>
      <c r="K61" s="16" t="s">
        <v>162</v>
      </c>
      <c r="L61" s="7" t="s">
        <v>29</v>
      </c>
      <c r="M61" s="7">
        <v>1280</v>
      </c>
      <c r="N61" s="15">
        <v>992</v>
      </c>
      <c r="O61" s="18"/>
      <c r="P61" s="18" t="s">
        <v>166</v>
      </c>
    </row>
    <row r="62" spans="1:16" ht="18" customHeight="1">
      <c r="A62" s="16">
        <v>57</v>
      </c>
      <c r="B62" s="2" t="s">
        <v>125</v>
      </c>
      <c r="C62" s="4" t="s">
        <v>22</v>
      </c>
      <c r="D62" s="4" t="s">
        <v>127</v>
      </c>
      <c r="E62" s="5" t="s">
        <v>128</v>
      </c>
      <c r="F62" s="6">
        <v>19.873049999999999</v>
      </c>
      <c r="G62" s="6">
        <v>105.491837</v>
      </c>
      <c r="H62" s="18"/>
      <c r="I62" s="18"/>
      <c r="J62" s="19" t="s">
        <v>163</v>
      </c>
      <c r="K62" s="16" t="s">
        <v>162</v>
      </c>
      <c r="L62" s="7" t="s">
        <v>25</v>
      </c>
      <c r="M62" s="7">
        <v>24</v>
      </c>
      <c r="N62" s="15">
        <v>22</v>
      </c>
      <c r="O62" s="18"/>
      <c r="P62" s="18" t="s">
        <v>166</v>
      </c>
    </row>
    <row r="63" spans="1:16" ht="18" customHeight="1">
      <c r="A63" s="16">
        <v>58</v>
      </c>
      <c r="B63" s="2" t="s">
        <v>125</v>
      </c>
      <c r="C63" s="4" t="s">
        <v>22</v>
      </c>
      <c r="D63" s="4" t="s">
        <v>127</v>
      </c>
      <c r="E63" s="5" t="s">
        <v>128</v>
      </c>
      <c r="F63" s="6">
        <v>19.873049999999999</v>
      </c>
      <c r="G63" s="6">
        <v>105.491837</v>
      </c>
      <c r="H63" s="18"/>
      <c r="I63" s="18"/>
      <c r="J63" s="19" t="s">
        <v>163</v>
      </c>
      <c r="K63" s="16" t="s">
        <v>162</v>
      </c>
      <c r="L63" s="7" t="s">
        <v>25</v>
      </c>
      <c r="M63" s="7">
        <v>24</v>
      </c>
      <c r="N63" s="15">
        <v>8</v>
      </c>
      <c r="O63" s="18"/>
      <c r="P63" s="18" t="s">
        <v>166</v>
      </c>
    </row>
    <row r="64" spans="1:16" ht="18" customHeight="1">
      <c r="A64" s="16">
        <v>59</v>
      </c>
      <c r="B64" s="2" t="s">
        <v>129</v>
      </c>
      <c r="C64" s="4" t="s">
        <v>22</v>
      </c>
      <c r="D64" s="4" t="s">
        <v>127</v>
      </c>
      <c r="E64" s="5" t="s">
        <v>131</v>
      </c>
      <c r="F64" s="6">
        <v>19.896799999999999</v>
      </c>
      <c r="G64" s="6">
        <v>105.50973</v>
      </c>
      <c r="H64" s="18"/>
      <c r="I64" s="18"/>
      <c r="J64" s="19" t="s">
        <v>163</v>
      </c>
      <c r="K64" s="16" t="s">
        <v>162</v>
      </c>
      <c r="L64" s="7" t="s">
        <v>25</v>
      </c>
      <c r="M64" s="7">
        <v>28</v>
      </c>
      <c r="N64" s="15">
        <v>10</v>
      </c>
      <c r="O64" s="18"/>
      <c r="P64" s="18" t="s">
        <v>166</v>
      </c>
    </row>
    <row r="65" spans="1:16" ht="18" customHeight="1">
      <c r="A65" s="16">
        <v>60</v>
      </c>
      <c r="B65" s="2" t="s">
        <v>132</v>
      </c>
      <c r="C65" s="4" t="s">
        <v>22</v>
      </c>
      <c r="D65" s="4" t="s">
        <v>127</v>
      </c>
      <c r="E65" s="5" t="s">
        <v>134</v>
      </c>
      <c r="F65" s="6">
        <v>19.90577</v>
      </c>
      <c r="G65" s="6">
        <v>105.5202</v>
      </c>
      <c r="H65" s="18"/>
      <c r="I65" s="18"/>
      <c r="J65" s="19" t="s">
        <v>163</v>
      </c>
      <c r="K65" s="16" t="s">
        <v>162</v>
      </c>
      <c r="L65" s="7" t="s">
        <v>25</v>
      </c>
      <c r="M65" s="7">
        <v>28</v>
      </c>
      <c r="N65" s="15">
        <v>3</v>
      </c>
      <c r="O65" s="18"/>
      <c r="P65" s="18" t="s">
        <v>166</v>
      </c>
    </row>
    <row r="66" spans="1:16" ht="18" customHeight="1">
      <c r="A66" s="16">
        <v>61</v>
      </c>
      <c r="B66" s="2" t="s">
        <v>132</v>
      </c>
      <c r="C66" s="4" t="s">
        <v>22</v>
      </c>
      <c r="D66" s="4" t="s">
        <v>127</v>
      </c>
      <c r="E66" s="5" t="s">
        <v>134</v>
      </c>
      <c r="F66" s="6">
        <v>19.90577</v>
      </c>
      <c r="G66" s="6">
        <v>105.5202</v>
      </c>
      <c r="H66" s="18"/>
      <c r="I66" s="18"/>
      <c r="J66" s="19" t="s">
        <v>163</v>
      </c>
      <c r="K66" s="16" t="s">
        <v>162</v>
      </c>
      <c r="L66" s="7" t="s">
        <v>25</v>
      </c>
      <c r="M66" s="7">
        <v>24</v>
      </c>
      <c r="N66" s="15">
        <v>3</v>
      </c>
      <c r="O66" s="18"/>
      <c r="P66" s="18" t="s">
        <v>166</v>
      </c>
    </row>
    <row r="67" spans="1:16" ht="18" customHeight="1">
      <c r="A67" s="16">
        <v>62</v>
      </c>
      <c r="B67" s="2" t="s">
        <v>135</v>
      </c>
      <c r="C67" s="4" t="s">
        <v>22</v>
      </c>
      <c r="D67" s="4" t="s">
        <v>127</v>
      </c>
      <c r="E67" s="5" t="s">
        <v>137</v>
      </c>
      <c r="F67" s="6">
        <v>19.887201000000001</v>
      </c>
      <c r="G67" s="6">
        <v>105.50444899999999</v>
      </c>
      <c r="H67" s="18"/>
      <c r="I67" s="18"/>
      <c r="J67" s="19" t="s">
        <v>163</v>
      </c>
      <c r="K67" s="16" t="s">
        <v>162</v>
      </c>
      <c r="L67" s="7" t="s">
        <v>25</v>
      </c>
      <c r="M67" s="7">
        <v>24</v>
      </c>
      <c r="N67" s="15">
        <v>10</v>
      </c>
      <c r="O67" s="18"/>
      <c r="P67" s="18" t="s">
        <v>166</v>
      </c>
    </row>
    <row r="68" spans="1:16" ht="18" customHeight="1">
      <c r="A68" s="16">
        <v>63</v>
      </c>
      <c r="B68" s="2" t="s">
        <v>129</v>
      </c>
      <c r="C68" s="4" t="s">
        <v>22</v>
      </c>
      <c r="D68" s="4" t="s">
        <v>127</v>
      </c>
      <c r="E68" s="5" t="s">
        <v>131</v>
      </c>
      <c r="F68" s="6">
        <v>19.896799999999999</v>
      </c>
      <c r="G68" s="6">
        <v>105.50973</v>
      </c>
      <c r="H68" s="18"/>
      <c r="I68" s="18"/>
      <c r="J68" s="19" t="s">
        <v>163</v>
      </c>
      <c r="K68" s="16" t="s">
        <v>162</v>
      </c>
      <c r="L68" s="7" t="s">
        <v>29</v>
      </c>
      <c r="M68" s="7">
        <v>1280</v>
      </c>
      <c r="N68" s="15">
        <v>1048</v>
      </c>
      <c r="O68" s="18"/>
      <c r="P68" s="18" t="s">
        <v>166</v>
      </c>
    </row>
    <row r="69" spans="1:16" ht="18" customHeight="1">
      <c r="A69" s="16">
        <v>64</v>
      </c>
      <c r="B69" s="2" t="s">
        <v>132</v>
      </c>
      <c r="C69" s="4" t="s">
        <v>22</v>
      </c>
      <c r="D69" s="4" t="s">
        <v>127</v>
      </c>
      <c r="E69" s="5" t="s">
        <v>134</v>
      </c>
      <c r="F69" s="6">
        <v>19.90577</v>
      </c>
      <c r="G69" s="6">
        <v>105.5202</v>
      </c>
      <c r="H69" s="18"/>
      <c r="I69" s="18"/>
      <c r="J69" s="19" t="s">
        <v>163</v>
      </c>
      <c r="K69" s="16" t="s">
        <v>162</v>
      </c>
      <c r="L69" s="7" t="s">
        <v>29</v>
      </c>
      <c r="M69" s="7">
        <v>320</v>
      </c>
      <c r="N69" s="15">
        <v>248</v>
      </c>
      <c r="O69" s="18"/>
      <c r="P69" s="18" t="s">
        <v>166</v>
      </c>
    </row>
    <row r="70" spans="1:16" ht="18" customHeight="1">
      <c r="A70" s="16">
        <v>65</v>
      </c>
      <c r="B70" s="2" t="s">
        <v>138</v>
      </c>
      <c r="C70" s="4" t="s">
        <v>22</v>
      </c>
      <c r="D70" s="4" t="s">
        <v>140</v>
      </c>
      <c r="E70" s="5" t="s">
        <v>141</v>
      </c>
      <c r="F70" s="6">
        <v>19.937911</v>
      </c>
      <c r="G70" s="6">
        <v>105.446973</v>
      </c>
      <c r="H70" s="18"/>
      <c r="I70" s="18"/>
      <c r="J70" s="19" t="s">
        <v>163</v>
      </c>
      <c r="K70" s="16" t="s">
        <v>162</v>
      </c>
      <c r="L70" s="7" t="s">
        <v>25</v>
      </c>
      <c r="M70" s="7">
        <v>28</v>
      </c>
      <c r="N70" s="15">
        <v>6</v>
      </c>
      <c r="O70" s="18"/>
      <c r="P70" s="18" t="s">
        <v>166</v>
      </c>
    </row>
    <row r="71" spans="1:16" ht="18" customHeight="1">
      <c r="A71" s="16">
        <v>66</v>
      </c>
      <c r="B71" s="2" t="s">
        <v>138</v>
      </c>
      <c r="C71" s="4" t="s">
        <v>22</v>
      </c>
      <c r="D71" s="4" t="s">
        <v>140</v>
      </c>
      <c r="E71" s="5" t="s">
        <v>141</v>
      </c>
      <c r="F71" s="6">
        <v>19.937911</v>
      </c>
      <c r="G71" s="6">
        <v>105.446973</v>
      </c>
      <c r="H71" s="18"/>
      <c r="I71" s="18"/>
      <c r="J71" s="19" t="s">
        <v>163</v>
      </c>
      <c r="K71" s="16" t="s">
        <v>162</v>
      </c>
      <c r="L71" s="7" t="s">
        <v>25</v>
      </c>
      <c r="M71" s="7">
        <v>24</v>
      </c>
      <c r="N71" s="15">
        <v>10</v>
      </c>
      <c r="O71" s="18"/>
      <c r="P71" s="18" t="s">
        <v>166</v>
      </c>
    </row>
    <row r="72" spans="1:16" ht="18" customHeight="1">
      <c r="A72" s="16">
        <v>67</v>
      </c>
      <c r="B72" s="2" t="s">
        <v>138</v>
      </c>
      <c r="C72" s="4" t="s">
        <v>22</v>
      </c>
      <c r="D72" s="4" t="s">
        <v>140</v>
      </c>
      <c r="E72" s="5" t="s">
        <v>141</v>
      </c>
      <c r="F72" s="6">
        <v>19.937911</v>
      </c>
      <c r="G72" s="6">
        <v>105.446973</v>
      </c>
      <c r="H72" s="18"/>
      <c r="I72" s="18"/>
      <c r="J72" s="19" t="s">
        <v>163</v>
      </c>
      <c r="K72" s="16" t="s">
        <v>162</v>
      </c>
      <c r="L72" s="7" t="s">
        <v>29</v>
      </c>
      <c r="M72" s="7">
        <v>640</v>
      </c>
      <c r="N72" s="15">
        <v>591</v>
      </c>
      <c r="O72" s="18"/>
      <c r="P72" s="18" t="s">
        <v>166</v>
      </c>
    </row>
    <row r="73" spans="1:16" ht="18" customHeight="1">
      <c r="A73" s="16">
        <v>68</v>
      </c>
      <c r="B73" s="2" t="s">
        <v>142</v>
      </c>
      <c r="C73" s="4" t="s">
        <v>22</v>
      </c>
      <c r="D73" s="4" t="s">
        <v>144</v>
      </c>
      <c r="E73" s="5" t="s">
        <v>145</v>
      </c>
      <c r="F73" s="6">
        <v>19.967770000000002</v>
      </c>
      <c r="G73" s="6">
        <v>105.49597</v>
      </c>
      <c r="H73" s="18"/>
      <c r="I73" s="18"/>
      <c r="J73" s="19" t="s">
        <v>163</v>
      </c>
      <c r="K73" s="16" t="s">
        <v>162</v>
      </c>
      <c r="L73" s="7" t="s">
        <v>25</v>
      </c>
      <c r="M73" s="7">
        <v>28</v>
      </c>
      <c r="N73" s="15">
        <v>7</v>
      </c>
      <c r="O73" s="18"/>
      <c r="P73" s="18" t="s">
        <v>166</v>
      </c>
    </row>
    <row r="74" spans="1:16" ht="18" customHeight="1">
      <c r="A74" s="16">
        <v>69</v>
      </c>
      <c r="B74" s="2" t="s">
        <v>142</v>
      </c>
      <c r="C74" s="4" t="s">
        <v>22</v>
      </c>
      <c r="D74" s="4" t="s">
        <v>144</v>
      </c>
      <c r="E74" s="5" t="s">
        <v>145</v>
      </c>
      <c r="F74" s="6">
        <v>19.967770000000002</v>
      </c>
      <c r="G74" s="6">
        <v>105.49597</v>
      </c>
      <c r="H74" s="18"/>
      <c r="I74" s="18"/>
      <c r="J74" s="19" t="s">
        <v>163</v>
      </c>
      <c r="K74" s="16" t="s">
        <v>162</v>
      </c>
      <c r="L74" s="7" t="s">
        <v>25</v>
      </c>
      <c r="M74" s="7">
        <v>24</v>
      </c>
      <c r="N74" s="15">
        <v>15</v>
      </c>
      <c r="O74" s="18"/>
      <c r="P74" s="18" t="s">
        <v>166</v>
      </c>
    </row>
    <row r="75" spans="1:16" ht="18" customHeight="1">
      <c r="A75" s="16">
        <v>70</v>
      </c>
      <c r="B75" s="2" t="s">
        <v>142</v>
      </c>
      <c r="C75" s="4" t="s">
        <v>22</v>
      </c>
      <c r="D75" s="4" t="s">
        <v>144</v>
      </c>
      <c r="E75" s="5" t="s">
        <v>145</v>
      </c>
      <c r="F75" s="6">
        <v>19.967770000000002</v>
      </c>
      <c r="G75" s="6">
        <v>105.49597</v>
      </c>
      <c r="H75" s="18"/>
      <c r="I75" s="18"/>
      <c r="J75" s="19" t="s">
        <v>163</v>
      </c>
      <c r="K75" s="16" t="s">
        <v>162</v>
      </c>
      <c r="L75" s="7" t="s">
        <v>29</v>
      </c>
      <c r="M75" s="7">
        <v>1280</v>
      </c>
      <c r="N75" s="15">
        <v>832</v>
      </c>
      <c r="O75" s="18"/>
      <c r="P75" s="18" t="s">
        <v>166</v>
      </c>
    </row>
    <row r="76" spans="1:16" ht="18" customHeight="1">
      <c r="A76" s="16">
        <v>71</v>
      </c>
      <c r="B76" s="2" t="s">
        <v>146</v>
      </c>
      <c r="C76" s="4" t="s">
        <v>22</v>
      </c>
      <c r="D76" s="4" t="s">
        <v>148</v>
      </c>
      <c r="E76" s="5" t="s">
        <v>149</v>
      </c>
      <c r="F76" s="6">
        <v>19.934442000000001</v>
      </c>
      <c r="G76" s="6">
        <v>105.51222799999999</v>
      </c>
      <c r="H76" s="18"/>
      <c r="I76" s="18"/>
      <c r="J76" s="19" t="s">
        <v>163</v>
      </c>
      <c r="K76" s="16" t="s">
        <v>162</v>
      </c>
      <c r="L76" s="7" t="s">
        <v>29</v>
      </c>
      <c r="M76" s="7">
        <v>640</v>
      </c>
      <c r="N76" s="15">
        <v>457</v>
      </c>
      <c r="O76" s="18"/>
      <c r="P76" s="18" t="s">
        <v>166</v>
      </c>
    </row>
  </sheetData>
  <mergeCells count="21">
    <mergeCell ref="D1:I1"/>
    <mergeCell ref="F3:G3"/>
    <mergeCell ref="C3:E3"/>
    <mergeCell ref="E4:E5"/>
    <mergeCell ref="D4:D5"/>
    <mergeCell ref="C4:C5"/>
    <mergeCell ref="F4:F5"/>
    <mergeCell ref="G4:G5"/>
    <mergeCell ref="M4:M5"/>
    <mergeCell ref="K3:K5"/>
    <mergeCell ref="L3:L5"/>
    <mergeCell ref="M3:N3"/>
    <mergeCell ref="H4:H5"/>
    <mergeCell ref="I4:I5"/>
    <mergeCell ref="H3:I3"/>
    <mergeCell ref="N4:N5"/>
    <mergeCell ref="A3:A5"/>
    <mergeCell ref="J3:J5"/>
    <mergeCell ref="O3:O5"/>
    <mergeCell ref="P3:P5"/>
    <mergeCell ref="B3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75"/>
  <sheetViews>
    <sheetView workbookViewId="0">
      <selection activeCell="B2" sqref="B2:C4"/>
    </sheetView>
  </sheetViews>
  <sheetFormatPr defaultRowHeight="14.4"/>
  <cols>
    <col min="2" max="2" width="24.44140625" customWidth="1"/>
    <col min="3" max="3" width="19.33203125" customWidth="1"/>
    <col min="4" max="4" width="13.5546875" customWidth="1"/>
    <col min="5" max="5" width="24.6640625" customWidth="1"/>
    <col min="6" max="6" width="81.44140625" customWidth="1"/>
    <col min="7" max="7" width="22.88671875" customWidth="1"/>
    <col min="8" max="8" width="15.44140625" customWidth="1"/>
    <col min="11" max="11" width="15" customWidth="1"/>
  </cols>
  <sheetData>
    <row r="2" spans="1:12" s="12" customFormat="1" ht="31.5" customHeight="1">
      <c r="A2" s="31" t="s">
        <v>150</v>
      </c>
      <c r="B2" s="36" t="s">
        <v>151</v>
      </c>
      <c r="C2" s="37"/>
      <c r="D2" s="33" t="s">
        <v>152</v>
      </c>
      <c r="E2" s="42"/>
      <c r="F2" s="34"/>
      <c r="G2" s="43" t="s">
        <v>153</v>
      </c>
      <c r="H2" s="44"/>
      <c r="I2" s="33" t="s">
        <v>154</v>
      </c>
      <c r="J2" s="42"/>
      <c r="K2" s="34"/>
      <c r="L2" s="11" t="s">
        <v>155</v>
      </c>
    </row>
    <row r="3" spans="1:12" s="13" customFormat="1" ht="15" customHeight="1">
      <c r="A3" s="35"/>
      <c r="B3" s="38"/>
      <c r="C3" s="39"/>
      <c r="D3" s="31" t="s">
        <v>156</v>
      </c>
      <c r="E3" s="31" t="s">
        <v>157</v>
      </c>
      <c r="F3" s="31" t="s">
        <v>158</v>
      </c>
      <c r="G3" s="29" t="s">
        <v>14</v>
      </c>
      <c r="H3" s="29" t="s">
        <v>15</v>
      </c>
      <c r="I3" s="31" t="s">
        <v>159</v>
      </c>
      <c r="J3" s="33" t="s">
        <v>8</v>
      </c>
      <c r="K3" s="34"/>
      <c r="L3" s="11"/>
    </row>
    <row r="4" spans="1:12" s="12" customFormat="1" ht="24" customHeight="1">
      <c r="A4" s="32"/>
      <c r="B4" s="40"/>
      <c r="C4" s="41"/>
      <c r="D4" s="32"/>
      <c r="E4" s="32"/>
      <c r="F4" s="32"/>
      <c r="G4" s="30"/>
      <c r="H4" s="30"/>
      <c r="I4" s="32"/>
      <c r="J4" s="11" t="s">
        <v>160</v>
      </c>
      <c r="K4" s="11" t="s">
        <v>161</v>
      </c>
      <c r="L4" s="11"/>
    </row>
    <row r="5" spans="1:12" s="10" customFormat="1" ht="16.5" customHeight="1">
      <c r="A5" s="2">
        <v>1250</v>
      </c>
      <c r="B5" s="2" t="s">
        <v>20</v>
      </c>
      <c r="C5" s="3" t="s">
        <v>21</v>
      </c>
      <c r="D5" s="4" t="s">
        <v>22</v>
      </c>
      <c r="E5" s="4" t="s">
        <v>23</v>
      </c>
      <c r="F5" s="5" t="s">
        <v>24</v>
      </c>
      <c r="G5" s="6">
        <v>19.923719999999999</v>
      </c>
      <c r="H5" s="6">
        <v>105.41092999999999</v>
      </c>
      <c r="I5" s="7" t="s">
        <v>25</v>
      </c>
      <c r="J5" s="7">
        <v>24</v>
      </c>
      <c r="K5" s="8">
        <v>0.33333333333333331</v>
      </c>
      <c r="L5" s="9">
        <f>J5*K5</f>
        <v>8</v>
      </c>
    </row>
    <row r="6" spans="1:12" s="10" customFormat="1" ht="18" customHeight="1">
      <c r="A6" s="2">
        <v>1251</v>
      </c>
      <c r="B6" s="2" t="s">
        <v>26</v>
      </c>
      <c r="C6" s="3" t="s">
        <v>27</v>
      </c>
      <c r="D6" s="4" t="s">
        <v>22</v>
      </c>
      <c r="E6" s="4" t="s">
        <v>23</v>
      </c>
      <c r="F6" s="5" t="s">
        <v>28</v>
      </c>
      <c r="G6" s="6">
        <v>19.910889999999998</v>
      </c>
      <c r="H6" s="6">
        <v>105.40652</v>
      </c>
      <c r="I6" s="7" t="s">
        <v>25</v>
      </c>
      <c r="J6" s="7">
        <v>24</v>
      </c>
      <c r="K6" s="8">
        <v>0.54166666666666663</v>
      </c>
      <c r="L6" s="9">
        <f t="shared" ref="L6:L69" si="0">J6*K6</f>
        <v>13</v>
      </c>
    </row>
    <row r="7" spans="1:12" s="10" customFormat="1" ht="18" customHeight="1">
      <c r="A7" s="2">
        <v>1252</v>
      </c>
      <c r="B7" s="2" t="s">
        <v>26</v>
      </c>
      <c r="C7" s="3" t="s">
        <v>27</v>
      </c>
      <c r="D7" s="4" t="s">
        <v>22</v>
      </c>
      <c r="E7" s="4" t="s">
        <v>23</v>
      </c>
      <c r="F7" s="5" t="s">
        <v>28</v>
      </c>
      <c r="G7" s="6">
        <v>19.910889999999998</v>
      </c>
      <c r="H7" s="6">
        <v>105.40652</v>
      </c>
      <c r="I7" s="7" t="s">
        <v>25</v>
      </c>
      <c r="J7" s="7">
        <v>24</v>
      </c>
      <c r="K7" s="8">
        <v>0.45833333333333331</v>
      </c>
      <c r="L7" s="9">
        <f t="shared" si="0"/>
        <v>11</v>
      </c>
    </row>
    <row r="8" spans="1:12" s="10" customFormat="1" ht="18" customHeight="1">
      <c r="A8" s="2">
        <v>1253</v>
      </c>
      <c r="B8" s="2" t="s">
        <v>26</v>
      </c>
      <c r="C8" s="3" t="s">
        <v>27</v>
      </c>
      <c r="D8" s="4" t="s">
        <v>22</v>
      </c>
      <c r="E8" s="4" t="s">
        <v>23</v>
      </c>
      <c r="F8" s="5" t="s">
        <v>28</v>
      </c>
      <c r="G8" s="6">
        <v>19.910889999999998</v>
      </c>
      <c r="H8" s="6">
        <v>105.40652</v>
      </c>
      <c r="I8" s="7" t="s">
        <v>25</v>
      </c>
      <c r="J8" s="7">
        <v>24</v>
      </c>
      <c r="K8" s="8">
        <v>0.91666666666666663</v>
      </c>
      <c r="L8" s="9">
        <f t="shared" si="0"/>
        <v>22</v>
      </c>
    </row>
    <row r="9" spans="1:12" s="10" customFormat="1" ht="18" customHeight="1">
      <c r="A9" s="2">
        <v>1254</v>
      </c>
      <c r="B9" s="2" t="s">
        <v>20</v>
      </c>
      <c r="C9" s="3" t="s">
        <v>21</v>
      </c>
      <c r="D9" s="4" t="s">
        <v>22</v>
      </c>
      <c r="E9" s="4" t="s">
        <v>23</v>
      </c>
      <c r="F9" s="5" t="s">
        <v>24</v>
      </c>
      <c r="G9" s="6">
        <v>19.923719999999999</v>
      </c>
      <c r="H9" s="6">
        <v>105.41092999999999</v>
      </c>
      <c r="I9" s="7" t="s">
        <v>29</v>
      </c>
      <c r="J9" s="7">
        <v>640</v>
      </c>
      <c r="K9" s="8">
        <v>0.75624999999999998</v>
      </c>
      <c r="L9" s="9">
        <f t="shared" si="0"/>
        <v>484</v>
      </c>
    </row>
    <row r="10" spans="1:12" s="10" customFormat="1" ht="18" customHeight="1">
      <c r="A10" s="2">
        <v>1255</v>
      </c>
      <c r="B10" s="2" t="s">
        <v>26</v>
      </c>
      <c r="C10" s="3" t="s">
        <v>27</v>
      </c>
      <c r="D10" s="4" t="s">
        <v>22</v>
      </c>
      <c r="E10" s="4" t="s">
        <v>23</v>
      </c>
      <c r="F10" s="5" t="s">
        <v>28</v>
      </c>
      <c r="G10" s="6">
        <v>19.910889999999998</v>
      </c>
      <c r="H10" s="6">
        <v>105.40652</v>
      </c>
      <c r="I10" s="7" t="s">
        <v>29</v>
      </c>
      <c r="J10" s="7">
        <v>1920</v>
      </c>
      <c r="K10" s="8">
        <v>0.64166666666666672</v>
      </c>
      <c r="L10" s="9">
        <f t="shared" si="0"/>
        <v>1232</v>
      </c>
    </row>
    <row r="11" spans="1:12" s="10" customFormat="1" ht="18" customHeight="1">
      <c r="A11" s="2">
        <v>1256</v>
      </c>
      <c r="B11" s="2" t="s">
        <v>30</v>
      </c>
      <c r="C11" s="3" t="s">
        <v>31</v>
      </c>
      <c r="D11" s="4" t="s">
        <v>22</v>
      </c>
      <c r="E11" s="4" t="s">
        <v>32</v>
      </c>
      <c r="F11" s="5" t="s">
        <v>33</v>
      </c>
      <c r="G11" s="6">
        <v>19.888500000000001</v>
      </c>
      <c r="H11" s="6">
        <v>105.45975</v>
      </c>
      <c r="I11" s="7" t="s">
        <v>25</v>
      </c>
      <c r="J11" s="7">
        <v>24</v>
      </c>
      <c r="K11" s="8">
        <v>0.54166666666666663</v>
      </c>
      <c r="L11" s="9">
        <f t="shared" si="0"/>
        <v>13</v>
      </c>
    </row>
    <row r="12" spans="1:12" s="10" customFormat="1" ht="18" customHeight="1">
      <c r="A12" s="2">
        <v>1257</v>
      </c>
      <c r="B12" s="2" t="s">
        <v>30</v>
      </c>
      <c r="C12" s="3" t="s">
        <v>31</v>
      </c>
      <c r="D12" s="4" t="s">
        <v>22</v>
      </c>
      <c r="E12" s="4" t="s">
        <v>32</v>
      </c>
      <c r="F12" s="5" t="s">
        <v>33</v>
      </c>
      <c r="G12" s="6">
        <v>19.888500000000001</v>
      </c>
      <c r="H12" s="6">
        <v>105.45975</v>
      </c>
      <c r="I12" s="7" t="s">
        <v>29</v>
      </c>
      <c r="J12" s="7">
        <v>1280</v>
      </c>
      <c r="K12" s="8">
        <v>0.6328125</v>
      </c>
      <c r="L12" s="9">
        <f t="shared" si="0"/>
        <v>810</v>
      </c>
    </row>
    <row r="13" spans="1:12" s="10" customFormat="1" ht="18" customHeight="1">
      <c r="A13" s="2">
        <v>1258</v>
      </c>
      <c r="B13" s="2" t="s">
        <v>34</v>
      </c>
      <c r="C13" s="3" t="s">
        <v>35</v>
      </c>
      <c r="D13" s="4" t="s">
        <v>22</v>
      </c>
      <c r="E13" s="4" t="s">
        <v>32</v>
      </c>
      <c r="F13" s="5" t="s">
        <v>36</v>
      </c>
      <c r="G13" s="6">
        <v>19.875048</v>
      </c>
      <c r="H13" s="6">
        <v>105.46559499999999</v>
      </c>
      <c r="I13" s="7" t="s">
        <v>29</v>
      </c>
      <c r="J13" s="7">
        <v>1280</v>
      </c>
      <c r="K13" s="8">
        <v>0.45390625000000001</v>
      </c>
      <c r="L13" s="9">
        <f t="shared" si="0"/>
        <v>581</v>
      </c>
    </row>
    <row r="14" spans="1:12" s="10" customFormat="1" ht="18" customHeight="1">
      <c r="A14" s="2">
        <v>1259</v>
      </c>
      <c r="B14" s="2" t="s">
        <v>37</v>
      </c>
      <c r="C14" s="3" t="s">
        <v>38</v>
      </c>
      <c r="D14" s="4" t="s">
        <v>22</v>
      </c>
      <c r="E14" s="4" t="s">
        <v>39</v>
      </c>
      <c r="F14" s="5" t="s">
        <v>40</v>
      </c>
      <c r="G14" s="6">
        <v>19.935459999999999</v>
      </c>
      <c r="H14" s="6">
        <v>105.52529</v>
      </c>
      <c r="I14" s="7" t="s">
        <v>25</v>
      </c>
      <c r="J14" s="7">
        <v>24</v>
      </c>
      <c r="K14" s="8">
        <v>0.95833333333333337</v>
      </c>
      <c r="L14" s="9">
        <f t="shared" si="0"/>
        <v>23</v>
      </c>
    </row>
    <row r="15" spans="1:12" s="10" customFormat="1" ht="18" customHeight="1">
      <c r="A15" s="2">
        <v>1260</v>
      </c>
      <c r="B15" s="2" t="s">
        <v>37</v>
      </c>
      <c r="C15" s="3" t="s">
        <v>38</v>
      </c>
      <c r="D15" s="4" t="s">
        <v>22</v>
      </c>
      <c r="E15" s="4" t="s">
        <v>39</v>
      </c>
      <c r="F15" s="5" t="s">
        <v>40</v>
      </c>
      <c r="G15" s="6">
        <v>19.935459999999999</v>
      </c>
      <c r="H15" s="6">
        <v>105.52529</v>
      </c>
      <c r="I15" s="7" t="s">
        <v>25</v>
      </c>
      <c r="J15" s="7">
        <v>24</v>
      </c>
      <c r="K15" s="8">
        <v>0.95833333333333337</v>
      </c>
      <c r="L15" s="9">
        <f t="shared" si="0"/>
        <v>23</v>
      </c>
    </row>
    <row r="16" spans="1:12" s="10" customFormat="1" ht="18" customHeight="1">
      <c r="A16" s="2">
        <v>1261</v>
      </c>
      <c r="B16" s="2" t="s">
        <v>41</v>
      </c>
      <c r="C16" s="3" t="s">
        <v>42</v>
      </c>
      <c r="D16" s="4" t="s">
        <v>22</v>
      </c>
      <c r="E16" s="4" t="s">
        <v>39</v>
      </c>
      <c r="F16" s="5" t="s">
        <v>43</v>
      </c>
      <c r="G16" s="6">
        <v>19.928038999999998</v>
      </c>
      <c r="H16" s="6">
        <v>105.52222500000001</v>
      </c>
      <c r="I16" s="7" t="s">
        <v>29</v>
      </c>
      <c r="J16" s="7">
        <v>1280</v>
      </c>
      <c r="K16" s="8">
        <v>0.67109375000000004</v>
      </c>
      <c r="L16" s="9">
        <f t="shared" si="0"/>
        <v>859</v>
      </c>
    </row>
    <row r="17" spans="1:12" s="10" customFormat="1" ht="18" customHeight="1">
      <c r="A17" s="2">
        <v>1262</v>
      </c>
      <c r="B17" s="2" t="s">
        <v>41</v>
      </c>
      <c r="C17" s="3" t="s">
        <v>42</v>
      </c>
      <c r="D17" s="4" t="s">
        <v>22</v>
      </c>
      <c r="E17" s="4" t="s">
        <v>39</v>
      </c>
      <c r="F17" s="5" t="s">
        <v>43</v>
      </c>
      <c r="G17" s="6">
        <v>19.928038999999998</v>
      </c>
      <c r="H17" s="6">
        <v>105.52222500000001</v>
      </c>
      <c r="I17" s="7" t="s">
        <v>29</v>
      </c>
      <c r="J17" s="7">
        <v>1280</v>
      </c>
      <c r="K17" s="8">
        <v>0.9296875</v>
      </c>
      <c r="L17" s="9">
        <f t="shared" si="0"/>
        <v>1190</v>
      </c>
    </row>
    <row r="18" spans="1:12" s="10" customFormat="1" ht="18" customHeight="1">
      <c r="A18" s="2">
        <v>1263</v>
      </c>
      <c r="B18" s="2" t="s">
        <v>44</v>
      </c>
      <c r="C18" s="3" t="s">
        <v>45</v>
      </c>
      <c r="D18" s="4" t="s">
        <v>22</v>
      </c>
      <c r="E18" s="4" t="s">
        <v>46</v>
      </c>
      <c r="F18" s="5" t="s">
        <v>47</v>
      </c>
      <c r="G18" s="6">
        <v>19.911840000000002</v>
      </c>
      <c r="H18" s="6">
        <v>105.54395</v>
      </c>
      <c r="I18" s="7" t="s">
        <v>25</v>
      </c>
      <c r="J18" s="7">
        <v>28</v>
      </c>
      <c r="K18" s="8">
        <v>0.5</v>
      </c>
      <c r="L18" s="9">
        <f t="shared" si="0"/>
        <v>14</v>
      </c>
    </row>
    <row r="19" spans="1:12" s="10" customFormat="1" ht="18" customHeight="1">
      <c r="A19" s="2">
        <v>1264</v>
      </c>
      <c r="B19" s="2" t="s">
        <v>44</v>
      </c>
      <c r="C19" s="3" t="s">
        <v>45</v>
      </c>
      <c r="D19" s="4" t="s">
        <v>22</v>
      </c>
      <c r="E19" s="4" t="s">
        <v>46</v>
      </c>
      <c r="F19" s="5" t="s">
        <v>47</v>
      </c>
      <c r="G19" s="6">
        <v>19.911840000000002</v>
      </c>
      <c r="H19" s="6">
        <v>105.54395</v>
      </c>
      <c r="I19" s="7" t="s">
        <v>25</v>
      </c>
      <c r="J19" s="7">
        <v>24</v>
      </c>
      <c r="K19" s="8">
        <v>0.125</v>
      </c>
      <c r="L19" s="9">
        <f t="shared" si="0"/>
        <v>3</v>
      </c>
    </row>
    <row r="20" spans="1:12" s="10" customFormat="1" ht="18" customHeight="1">
      <c r="A20" s="2">
        <v>1265</v>
      </c>
      <c r="B20" s="2" t="s">
        <v>44</v>
      </c>
      <c r="C20" s="3" t="s">
        <v>45</v>
      </c>
      <c r="D20" s="4" t="s">
        <v>22</v>
      </c>
      <c r="E20" s="4" t="s">
        <v>46</v>
      </c>
      <c r="F20" s="5" t="s">
        <v>47</v>
      </c>
      <c r="G20" s="6">
        <v>19.911840000000002</v>
      </c>
      <c r="H20" s="6">
        <v>105.54395</v>
      </c>
      <c r="I20" s="7" t="s">
        <v>29</v>
      </c>
      <c r="J20" s="7">
        <v>1280</v>
      </c>
      <c r="K20" s="8">
        <v>0.86015624999999996</v>
      </c>
      <c r="L20" s="9">
        <f t="shared" si="0"/>
        <v>1101</v>
      </c>
    </row>
    <row r="21" spans="1:12" s="10" customFormat="1" ht="18" customHeight="1">
      <c r="A21" s="2">
        <v>1266</v>
      </c>
      <c r="B21" s="2" t="s">
        <v>48</v>
      </c>
      <c r="C21" s="3" t="s">
        <v>49</v>
      </c>
      <c r="D21" s="4" t="s">
        <v>22</v>
      </c>
      <c r="E21" s="4" t="s">
        <v>50</v>
      </c>
      <c r="F21" s="5" t="s">
        <v>51</v>
      </c>
      <c r="G21" s="6">
        <v>19.95317</v>
      </c>
      <c r="H21" s="6">
        <v>105.51475000000001</v>
      </c>
      <c r="I21" s="7" t="s">
        <v>25</v>
      </c>
      <c r="J21" s="7">
        <v>24</v>
      </c>
      <c r="K21" s="8">
        <v>0.29166666666666669</v>
      </c>
      <c r="L21" s="9">
        <f t="shared" si="0"/>
        <v>7</v>
      </c>
    </row>
    <row r="22" spans="1:12" s="10" customFormat="1" ht="18" customHeight="1">
      <c r="A22" s="2">
        <v>1267</v>
      </c>
      <c r="B22" s="2" t="s">
        <v>48</v>
      </c>
      <c r="C22" s="3" t="s">
        <v>49</v>
      </c>
      <c r="D22" s="4" t="s">
        <v>22</v>
      </c>
      <c r="E22" s="4" t="s">
        <v>50</v>
      </c>
      <c r="F22" s="5" t="s">
        <v>51</v>
      </c>
      <c r="G22" s="6">
        <v>19.95317</v>
      </c>
      <c r="H22" s="6">
        <v>105.51475000000001</v>
      </c>
      <c r="I22" s="7" t="s">
        <v>29</v>
      </c>
      <c r="J22" s="7">
        <v>640</v>
      </c>
      <c r="K22" s="8">
        <v>0.27031250000000001</v>
      </c>
      <c r="L22" s="9">
        <f t="shared" si="0"/>
        <v>173</v>
      </c>
    </row>
    <row r="23" spans="1:12" s="10" customFormat="1" ht="18" customHeight="1">
      <c r="A23" s="2">
        <v>1268</v>
      </c>
      <c r="B23" s="2" t="s">
        <v>52</v>
      </c>
      <c r="C23" s="3" t="s">
        <v>53</v>
      </c>
      <c r="D23" s="4" t="s">
        <v>22</v>
      </c>
      <c r="E23" s="4" t="s">
        <v>54</v>
      </c>
      <c r="F23" s="5" t="s">
        <v>55</v>
      </c>
      <c r="G23" s="6">
        <v>19.99567</v>
      </c>
      <c r="H23" s="6">
        <v>105.48997</v>
      </c>
      <c r="I23" s="7" t="s">
        <v>25</v>
      </c>
      <c r="J23" s="7">
        <v>24</v>
      </c>
      <c r="K23" s="8">
        <v>0.375</v>
      </c>
      <c r="L23" s="9">
        <f t="shared" si="0"/>
        <v>9</v>
      </c>
    </row>
    <row r="24" spans="1:12" s="10" customFormat="1" ht="18" customHeight="1">
      <c r="A24" s="2">
        <v>1269</v>
      </c>
      <c r="B24" s="2" t="s">
        <v>52</v>
      </c>
      <c r="C24" s="3" t="s">
        <v>53</v>
      </c>
      <c r="D24" s="4" t="s">
        <v>22</v>
      </c>
      <c r="E24" s="4" t="s">
        <v>54</v>
      </c>
      <c r="F24" s="5" t="s">
        <v>55</v>
      </c>
      <c r="G24" s="6">
        <v>19.99567</v>
      </c>
      <c r="H24" s="6">
        <v>105.48997</v>
      </c>
      <c r="I24" s="7" t="s">
        <v>29</v>
      </c>
      <c r="J24" s="7">
        <v>640</v>
      </c>
      <c r="K24" s="8">
        <v>0.91874999999999996</v>
      </c>
      <c r="L24" s="9">
        <f t="shared" si="0"/>
        <v>588</v>
      </c>
    </row>
    <row r="25" spans="1:12" s="10" customFormat="1" ht="18" customHeight="1">
      <c r="A25" s="2">
        <v>1270</v>
      </c>
      <c r="B25" s="2" t="s">
        <v>56</v>
      </c>
      <c r="C25" s="3" t="s">
        <v>57</v>
      </c>
      <c r="D25" s="4" t="s">
        <v>22</v>
      </c>
      <c r="E25" s="4" t="s">
        <v>58</v>
      </c>
      <c r="F25" s="5" t="s">
        <v>59</v>
      </c>
      <c r="G25" s="6">
        <v>19.930330000000001</v>
      </c>
      <c r="H25" s="6">
        <v>105.45233</v>
      </c>
      <c r="I25" s="7" t="s">
        <v>25</v>
      </c>
      <c r="J25" s="7">
        <v>28</v>
      </c>
      <c r="K25" s="8">
        <v>0.2857142857142857</v>
      </c>
      <c r="L25" s="9">
        <f t="shared" si="0"/>
        <v>8</v>
      </c>
    </row>
    <row r="26" spans="1:12" s="10" customFormat="1" ht="18" customHeight="1">
      <c r="A26" s="2">
        <v>1271</v>
      </c>
      <c r="B26" s="2" t="s">
        <v>56</v>
      </c>
      <c r="C26" s="3" t="s">
        <v>57</v>
      </c>
      <c r="D26" s="4" t="s">
        <v>22</v>
      </c>
      <c r="E26" s="4" t="s">
        <v>58</v>
      </c>
      <c r="F26" s="5" t="s">
        <v>59</v>
      </c>
      <c r="G26" s="6">
        <v>19.930330000000001</v>
      </c>
      <c r="H26" s="6">
        <v>105.45233</v>
      </c>
      <c r="I26" s="7" t="s">
        <v>25</v>
      </c>
      <c r="J26" s="7">
        <v>24</v>
      </c>
      <c r="K26" s="8">
        <v>0.45833333333333331</v>
      </c>
      <c r="L26" s="9">
        <f t="shared" si="0"/>
        <v>11</v>
      </c>
    </row>
    <row r="27" spans="1:12" s="10" customFormat="1" ht="18" customHeight="1">
      <c r="A27" s="2">
        <v>1272</v>
      </c>
      <c r="B27" s="2" t="s">
        <v>56</v>
      </c>
      <c r="C27" s="3" t="s">
        <v>57</v>
      </c>
      <c r="D27" s="4" t="s">
        <v>22</v>
      </c>
      <c r="E27" s="4" t="s">
        <v>58</v>
      </c>
      <c r="F27" s="5" t="s">
        <v>59</v>
      </c>
      <c r="G27" s="6">
        <v>19.930330000000001</v>
      </c>
      <c r="H27" s="6">
        <v>105.45233</v>
      </c>
      <c r="I27" s="7" t="s">
        <v>29</v>
      </c>
      <c r="J27" s="7">
        <v>1280</v>
      </c>
      <c r="K27" s="8">
        <v>0.64218750000000002</v>
      </c>
      <c r="L27" s="9">
        <f t="shared" si="0"/>
        <v>822</v>
      </c>
    </row>
    <row r="28" spans="1:12" s="10" customFormat="1" ht="18" customHeight="1">
      <c r="A28" s="2">
        <v>1273</v>
      </c>
      <c r="B28" s="2" t="s">
        <v>60</v>
      </c>
      <c r="C28" s="3" t="s">
        <v>61</v>
      </c>
      <c r="D28" s="4" t="s">
        <v>22</v>
      </c>
      <c r="E28" s="4" t="s">
        <v>62</v>
      </c>
      <c r="F28" s="5" t="s">
        <v>63</v>
      </c>
      <c r="G28" s="6">
        <v>19.94014</v>
      </c>
      <c r="H28" s="6">
        <v>105.47556</v>
      </c>
      <c r="I28" s="7" t="s">
        <v>25</v>
      </c>
      <c r="J28" s="7">
        <v>24</v>
      </c>
      <c r="K28" s="8">
        <v>0.5</v>
      </c>
      <c r="L28" s="9">
        <f t="shared" si="0"/>
        <v>12</v>
      </c>
    </row>
    <row r="29" spans="1:12" s="10" customFormat="1" ht="18" customHeight="1">
      <c r="A29" s="2">
        <v>1274</v>
      </c>
      <c r="B29" s="2" t="s">
        <v>60</v>
      </c>
      <c r="C29" s="3" t="s">
        <v>61</v>
      </c>
      <c r="D29" s="4" t="s">
        <v>22</v>
      </c>
      <c r="E29" s="4" t="s">
        <v>62</v>
      </c>
      <c r="F29" s="5" t="s">
        <v>63</v>
      </c>
      <c r="G29" s="6">
        <v>19.94014</v>
      </c>
      <c r="H29" s="6">
        <v>105.47556</v>
      </c>
      <c r="I29" s="7" t="s">
        <v>29</v>
      </c>
      <c r="J29" s="7">
        <v>320</v>
      </c>
      <c r="K29" s="8">
        <v>0.5625</v>
      </c>
      <c r="L29" s="9">
        <f t="shared" si="0"/>
        <v>180</v>
      </c>
    </row>
    <row r="30" spans="1:12" s="10" customFormat="1" ht="18" customHeight="1">
      <c r="A30" s="2">
        <v>1275</v>
      </c>
      <c r="B30" s="2" t="s">
        <v>64</v>
      </c>
      <c r="C30" s="3" t="s">
        <v>65</v>
      </c>
      <c r="D30" s="4" t="s">
        <v>22</v>
      </c>
      <c r="E30" s="4" t="s">
        <v>66</v>
      </c>
      <c r="F30" s="5" t="s">
        <v>67</v>
      </c>
      <c r="G30" s="6">
        <v>19.921559999999999</v>
      </c>
      <c r="H30" s="6">
        <v>105.43526</v>
      </c>
      <c r="I30" s="7" t="s">
        <v>29</v>
      </c>
      <c r="J30" s="7">
        <v>640</v>
      </c>
      <c r="K30" s="8">
        <v>0.77656250000000004</v>
      </c>
      <c r="L30" s="9">
        <f t="shared" si="0"/>
        <v>497</v>
      </c>
    </row>
    <row r="31" spans="1:12" s="10" customFormat="1" ht="18" customHeight="1">
      <c r="A31" s="2">
        <v>1276</v>
      </c>
      <c r="B31" s="2" t="s">
        <v>68</v>
      </c>
      <c r="C31" s="3" t="s">
        <v>69</v>
      </c>
      <c r="D31" s="4" t="s">
        <v>22</v>
      </c>
      <c r="E31" s="4" t="s">
        <v>70</v>
      </c>
      <c r="F31" s="5" t="s">
        <v>71</v>
      </c>
      <c r="G31" s="6">
        <v>19.893550000000001</v>
      </c>
      <c r="H31" s="6">
        <v>105.55544</v>
      </c>
      <c r="I31" s="7" t="s">
        <v>25</v>
      </c>
      <c r="J31" s="7">
        <v>28</v>
      </c>
      <c r="K31" s="8">
        <v>0.32142857142857145</v>
      </c>
      <c r="L31" s="9">
        <f t="shared" si="0"/>
        <v>9</v>
      </c>
    </row>
    <row r="32" spans="1:12" s="10" customFormat="1" ht="18" customHeight="1">
      <c r="A32" s="2">
        <v>1277</v>
      </c>
      <c r="B32" s="2" t="s">
        <v>68</v>
      </c>
      <c r="C32" s="3" t="s">
        <v>69</v>
      </c>
      <c r="D32" s="4" t="s">
        <v>22</v>
      </c>
      <c r="E32" s="4" t="s">
        <v>70</v>
      </c>
      <c r="F32" s="5" t="s">
        <v>71</v>
      </c>
      <c r="G32" s="6">
        <v>19.893550000000001</v>
      </c>
      <c r="H32" s="6">
        <v>105.55544</v>
      </c>
      <c r="I32" s="7" t="s">
        <v>25</v>
      </c>
      <c r="J32" s="7">
        <v>24</v>
      </c>
      <c r="K32" s="8">
        <v>0.20833333333333334</v>
      </c>
      <c r="L32" s="9">
        <f t="shared" si="0"/>
        <v>5</v>
      </c>
    </row>
    <row r="33" spans="1:12" s="10" customFormat="1" ht="18" customHeight="1">
      <c r="A33" s="2">
        <v>1278</v>
      </c>
      <c r="B33" s="2" t="s">
        <v>68</v>
      </c>
      <c r="C33" s="3" t="s">
        <v>69</v>
      </c>
      <c r="D33" s="4" t="s">
        <v>22</v>
      </c>
      <c r="E33" s="4" t="s">
        <v>70</v>
      </c>
      <c r="F33" s="5" t="s">
        <v>71</v>
      </c>
      <c r="G33" s="6">
        <v>19.893550000000001</v>
      </c>
      <c r="H33" s="6">
        <v>105.55544</v>
      </c>
      <c r="I33" s="7" t="s">
        <v>29</v>
      </c>
      <c r="J33" s="7">
        <v>640</v>
      </c>
      <c r="K33" s="8">
        <v>0.50468749999999996</v>
      </c>
      <c r="L33" s="9">
        <f t="shared" si="0"/>
        <v>323</v>
      </c>
    </row>
    <row r="34" spans="1:12" s="10" customFormat="1" ht="18" customHeight="1">
      <c r="A34" s="2">
        <v>1279</v>
      </c>
      <c r="B34" s="2" t="s">
        <v>72</v>
      </c>
      <c r="C34" s="3" t="s">
        <v>73</v>
      </c>
      <c r="D34" s="4" t="s">
        <v>22</v>
      </c>
      <c r="E34" s="4" t="s">
        <v>74</v>
      </c>
      <c r="F34" s="5" t="s">
        <v>75</v>
      </c>
      <c r="G34" s="6">
        <v>19.9072</v>
      </c>
      <c r="H34" s="6">
        <v>105.3935</v>
      </c>
      <c r="I34" s="7" t="s">
        <v>25</v>
      </c>
      <c r="J34" s="7">
        <v>24</v>
      </c>
      <c r="K34" s="8">
        <v>0.25</v>
      </c>
      <c r="L34" s="9">
        <f t="shared" si="0"/>
        <v>6</v>
      </c>
    </row>
    <row r="35" spans="1:12" s="10" customFormat="1" ht="18" customHeight="1">
      <c r="A35" s="2">
        <v>1280</v>
      </c>
      <c r="B35" s="2" t="s">
        <v>76</v>
      </c>
      <c r="C35" s="3" t="s">
        <v>77</v>
      </c>
      <c r="D35" s="4" t="s">
        <v>22</v>
      </c>
      <c r="E35" s="4" t="s">
        <v>74</v>
      </c>
      <c r="F35" s="5" t="s">
        <v>78</v>
      </c>
      <c r="G35" s="6">
        <v>19.891529999999999</v>
      </c>
      <c r="H35" s="6">
        <v>105.40504</v>
      </c>
      <c r="I35" s="7" t="s">
        <v>29</v>
      </c>
      <c r="J35" s="7">
        <v>640</v>
      </c>
      <c r="K35" s="8">
        <v>0.47343750000000001</v>
      </c>
      <c r="L35" s="9">
        <f t="shared" si="0"/>
        <v>303</v>
      </c>
    </row>
    <row r="36" spans="1:12" s="10" customFormat="1" ht="18" customHeight="1">
      <c r="A36" s="2">
        <v>1281</v>
      </c>
      <c r="B36" s="2" t="s">
        <v>72</v>
      </c>
      <c r="C36" s="3" t="s">
        <v>73</v>
      </c>
      <c r="D36" s="4" t="s">
        <v>22</v>
      </c>
      <c r="E36" s="4" t="s">
        <v>74</v>
      </c>
      <c r="F36" s="5" t="s">
        <v>75</v>
      </c>
      <c r="G36" s="6">
        <v>19.9072</v>
      </c>
      <c r="H36" s="6">
        <v>105.3935</v>
      </c>
      <c r="I36" s="7" t="s">
        <v>29</v>
      </c>
      <c r="J36" s="7">
        <v>1280</v>
      </c>
      <c r="K36" s="8">
        <v>0.78437500000000004</v>
      </c>
      <c r="L36" s="9">
        <f t="shared" si="0"/>
        <v>1004</v>
      </c>
    </row>
    <row r="37" spans="1:12" s="10" customFormat="1" ht="18" customHeight="1">
      <c r="A37" s="2">
        <v>1282</v>
      </c>
      <c r="B37" s="2" t="s">
        <v>79</v>
      </c>
      <c r="C37" s="3" t="s">
        <v>80</v>
      </c>
      <c r="D37" s="4" t="s">
        <v>22</v>
      </c>
      <c r="E37" s="4" t="s">
        <v>81</v>
      </c>
      <c r="F37" s="5" t="s">
        <v>82</v>
      </c>
      <c r="G37" s="6">
        <v>19.982520000000001</v>
      </c>
      <c r="H37" s="6">
        <v>105.44636</v>
      </c>
      <c r="I37" s="7" t="s">
        <v>25</v>
      </c>
      <c r="J37" s="7">
        <v>24</v>
      </c>
      <c r="K37" s="8">
        <v>0.375</v>
      </c>
      <c r="L37" s="9">
        <f t="shared" si="0"/>
        <v>9</v>
      </c>
    </row>
    <row r="38" spans="1:12" s="10" customFormat="1" ht="18" customHeight="1">
      <c r="A38" s="2">
        <v>1283</v>
      </c>
      <c r="B38" s="2" t="s">
        <v>83</v>
      </c>
      <c r="C38" s="3" t="s">
        <v>84</v>
      </c>
      <c r="D38" s="4" t="s">
        <v>22</v>
      </c>
      <c r="E38" s="4" t="s">
        <v>81</v>
      </c>
      <c r="F38" s="5" t="s">
        <v>85</v>
      </c>
      <c r="G38" s="6">
        <v>19.955289</v>
      </c>
      <c r="H38" s="6">
        <v>105.46365</v>
      </c>
      <c r="I38" s="7" t="s">
        <v>25</v>
      </c>
      <c r="J38" s="7">
        <v>24</v>
      </c>
      <c r="K38" s="8">
        <v>0.70833333333333337</v>
      </c>
      <c r="L38" s="9">
        <f t="shared" si="0"/>
        <v>17</v>
      </c>
    </row>
    <row r="39" spans="1:12" s="10" customFormat="1" ht="18" customHeight="1">
      <c r="A39" s="2">
        <v>1284</v>
      </c>
      <c r="B39" s="2" t="s">
        <v>79</v>
      </c>
      <c r="C39" s="3" t="s">
        <v>80</v>
      </c>
      <c r="D39" s="4" t="s">
        <v>22</v>
      </c>
      <c r="E39" s="4" t="s">
        <v>81</v>
      </c>
      <c r="F39" s="5" t="s">
        <v>82</v>
      </c>
      <c r="G39" s="6">
        <v>19.982520000000001</v>
      </c>
      <c r="H39" s="6">
        <v>105.44636</v>
      </c>
      <c r="I39" s="7" t="s">
        <v>29</v>
      </c>
      <c r="J39" s="7">
        <v>640</v>
      </c>
      <c r="K39" s="8">
        <v>0.62187499999999996</v>
      </c>
      <c r="L39" s="9">
        <f t="shared" si="0"/>
        <v>398</v>
      </c>
    </row>
    <row r="40" spans="1:12" s="10" customFormat="1" ht="18" customHeight="1">
      <c r="A40" s="2">
        <v>1285</v>
      </c>
      <c r="B40" s="2" t="s">
        <v>83</v>
      </c>
      <c r="C40" s="3" t="s">
        <v>84</v>
      </c>
      <c r="D40" s="4" t="s">
        <v>22</v>
      </c>
      <c r="E40" s="4" t="s">
        <v>81</v>
      </c>
      <c r="F40" s="5" t="s">
        <v>85</v>
      </c>
      <c r="G40" s="6">
        <v>19.955289</v>
      </c>
      <c r="H40" s="6">
        <v>105.46365</v>
      </c>
      <c r="I40" s="7" t="s">
        <v>29</v>
      </c>
      <c r="J40" s="7">
        <v>640</v>
      </c>
      <c r="K40" s="8">
        <v>0.80312499999999998</v>
      </c>
      <c r="L40" s="9">
        <f t="shared" si="0"/>
        <v>514</v>
      </c>
    </row>
    <row r="41" spans="1:12" s="10" customFormat="1" ht="18" customHeight="1">
      <c r="A41" s="2">
        <v>1286</v>
      </c>
      <c r="B41" s="2" t="s">
        <v>86</v>
      </c>
      <c r="C41" s="3" t="s">
        <v>87</v>
      </c>
      <c r="D41" s="4" t="s">
        <v>22</v>
      </c>
      <c r="E41" s="4" t="s">
        <v>88</v>
      </c>
      <c r="F41" s="5" t="s">
        <v>89</v>
      </c>
      <c r="G41" s="6">
        <v>19.947839999999999</v>
      </c>
      <c r="H41" s="6">
        <v>105.58110000000001</v>
      </c>
      <c r="I41" s="7" t="s">
        <v>25</v>
      </c>
      <c r="J41" s="7">
        <v>24</v>
      </c>
      <c r="K41" s="8">
        <v>0.5</v>
      </c>
      <c r="L41" s="9">
        <f t="shared" si="0"/>
        <v>12</v>
      </c>
    </row>
    <row r="42" spans="1:12" s="10" customFormat="1" ht="18" customHeight="1">
      <c r="A42" s="2">
        <v>1287</v>
      </c>
      <c r="B42" s="2" t="s">
        <v>86</v>
      </c>
      <c r="C42" s="3" t="s">
        <v>87</v>
      </c>
      <c r="D42" s="4" t="s">
        <v>22</v>
      </c>
      <c r="E42" s="4" t="s">
        <v>88</v>
      </c>
      <c r="F42" s="5" t="s">
        <v>89</v>
      </c>
      <c r="G42" s="6">
        <v>19.947839999999999</v>
      </c>
      <c r="H42" s="6">
        <v>105.58110000000001</v>
      </c>
      <c r="I42" s="7" t="s">
        <v>29</v>
      </c>
      <c r="J42" s="7">
        <v>960</v>
      </c>
      <c r="K42" s="8">
        <v>0.84479166666666672</v>
      </c>
      <c r="L42" s="9">
        <f t="shared" si="0"/>
        <v>811</v>
      </c>
    </row>
    <row r="43" spans="1:12" s="10" customFormat="1" ht="18" customHeight="1">
      <c r="A43" s="2">
        <v>1288</v>
      </c>
      <c r="B43" s="2" t="s">
        <v>90</v>
      </c>
      <c r="C43" s="3" t="s">
        <v>91</v>
      </c>
      <c r="D43" s="4" t="s">
        <v>22</v>
      </c>
      <c r="E43" s="4" t="s">
        <v>92</v>
      </c>
      <c r="F43" s="5" t="s">
        <v>93</v>
      </c>
      <c r="G43" s="6">
        <v>19.902429999999999</v>
      </c>
      <c r="H43" s="6">
        <v>105.38352</v>
      </c>
      <c r="I43" s="7" t="s">
        <v>25</v>
      </c>
      <c r="J43" s="7">
        <v>28</v>
      </c>
      <c r="K43" s="8">
        <v>0.5714285714285714</v>
      </c>
      <c r="L43" s="9">
        <f t="shared" si="0"/>
        <v>16</v>
      </c>
    </row>
    <row r="44" spans="1:12" s="10" customFormat="1" ht="18" customHeight="1">
      <c r="A44" s="2">
        <v>1289</v>
      </c>
      <c r="B44" s="2" t="s">
        <v>90</v>
      </c>
      <c r="C44" s="3" t="s">
        <v>91</v>
      </c>
      <c r="D44" s="4" t="s">
        <v>22</v>
      </c>
      <c r="E44" s="4" t="s">
        <v>92</v>
      </c>
      <c r="F44" s="5" t="s">
        <v>93</v>
      </c>
      <c r="G44" s="6">
        <v>19.902429999999999</v>
      </c>
      <c r="H44" s="6">
        <v>105.38352</v>
      </c>
      <c r="I44" s="7" t="s">
        <v>29</v>
      </c>
      <c r="J44" s="7">
        <v>1280</v>
      </c>
      <c r="K44" s="8">
        <v>0.97734374999999996</v>
      </c>
      <c r="L44" s="9">
        <f t="shared" si="0"/>
        <v>1251</v>
      </c>
    </row>
    <row r="45" spans="1:12" s="10" customFormat="1" ht="18" customHeight="1">
      <c r="A45" s="2">
        <v>1290</v>
      </c>
      <c r="B45" s="2" t="s">
        <v>94</v>
      </c>
      <c r="C45" s="3" t="s">
        <v>95</v>
      </c>
      <c r="D45" s="4" t="s">
        <v>22</v>
      </c>
      <c r="E45" s="4" t="s">
        <v>96</v>
      </c>
      <c r="F45" s="5" t="s">
        <v>97</v>
      </c>
      <c r="G45" s="6">
        <v>19.944459999999999</v>
      </c>
      <c r="H45" s="6">
        <v>105.49672</v>
      </c>
      <c r="I45" s="7" t="s">
        <v>29</v>
      </c>
      <c r="J45" s="7">
        <v>1280</v>
      </c>
      <c r="K45" s="8">
        <v>0.65781250000000002</v>
      </c>
      <c r="L45" s="9">
        <f t="shared" si="0"/>
        <v>842</v>
      </c>
    </row>
    <row r="46" spans="1:12" s="10" customFormat="1" ht="18" customHeight="1">
      <c r="A46" s="2">
        <v>1291</v>
      </c>
      <c r="B46" s="2" t="s">
        <v>98</v>
      </c>
      <c r="C46" s="3" t="s">
        <v>99</v>
      </c>
      <c r="D46" s="4" t="s">
        <v>22</v>
      </c>
      <c r="E46" s="4" t="s">
        <v>100</v>
      </c>
      <c r="F46" s="5" t="s">
        <v>101</v>
      </c>
      <c r="G46" s="6">
        <v>19.938140000000001</v>
      </c>
      <c r="H46" s="6">
        <v>105.54835</v>
      </c>
      <c r="I46" s="7" t="s">
        <v>25</v>
      </c>
      <c r="J46" s="7">
        <v>28</v>
      </c>
      <c r="K46" s="8">
        <v>0.42857142857142855</v>
      </c>
      <c r="L46" s="9">
        <f t="shared" si="0"/>
        <v>12</v>
      </c>
    </row>
    <row r="47" spans="1:12" s="10" customFormat="1" ht="18" customHeight="1">
      <c r="A47" s="2">
        <v>1292</v>
      </c>
      <c r="B47" s="2" t="s">
        <v>102</v>
      </c>
      <c r="C47" s="3" t="s">
        <v>103</v>
      </c>
      <c r="D47" s="4" t="s">
        <v>22</v>
      </c>
      <c r="E47" s="4" t="s">
        <v>100</v>
      </c>
      <c r="F47" s="5" t="s">
        <v>104</v>
      </c>
      <c r="G47" s="6">
        <v>19.930499999999999</v>
      </c>
      <c r="H47" s="6">
        <v>105.57109</v>
      </c>
      <c r="I47" s="7" t="s">
        <v>25</v>
      </c>
      <c r="J47" s="7">
        <v>28</v>
      </c>
      <c r="K47" s="8">
        <v>0.21428571428571427</v>
      </c>
      <c r="L47" s="9">
        <f t="shared" si="0"/>
        <v>6</v>
      </c>
    </row>
    <row r="48" spans="1:12" s="10" customFormat="1" ht="18" customHeight="1">
      <c r="A48" s="2">
        <v>1293</v>
      </c>
      <c r="B48" s="2" t="s">
        <v>98</v>
      </c>
      <c r="C48" s="3" t="s">
        <v>99</v>
      </c>
      <c r="D48" s="4" t="s">
        <v>22</v>
      </c>
      <c r="E48" s="4" t="s">
        <v>100</v>
      </c>
      <c r="F48" s="5" t="s">
        <v>101</v>
      </c>
      <c r="G48" s="6">
        <v>19.938140000000001</v>
      </c>
      <c r="H48" s="6">
        <v>105.54835</v>
      </c>
      <c r="I48" s="7" t="s">
        <v>29</v>
      </c>
      <c r="J48" s="7">
        <v>640</v>
      </c>
      <c r="K48" s="8">
        <v>0.75156250000000002</v>
      </c>
      <c r="L48" s="9">
        <f t="shared" si="0"/>
        <v>481</v>
      </c>
    </row>
    <row r="49" spans="1:12" s="10" customFormat="1" ht="18" customHeight="1">
      <c r="A49" s="2">
        <v>1294</v>
      </c>
      <c r="B49" s="2" t="s">
        <v>102</v>
      </c>
      <c r="C49" s="3" t="s">
        <v>103</v>
      </c>
      <c r="D49" s="4" t="s">
        <v>22</v>
      </c>
      <c r="E49" s="4" t="s">
        <v>100</v>
      </c>
      <c r="F49" s="5" t="s">
        <v>104</v>
      </c>
      <c r="G49" s="6">
        <v>19.930499999999999</v>
      </c>
      <c r="H49" s="6">
        <v>105.57109</v>
      </c>
      <c r="I49" s="7" t="s">
        <v>29</v>
      </c>
      <c r="J49" s="7">
        <v>1280</v>
      </c>
      <c r="K49" s="8">
        <v>0.45234374999999999</v>
      </c>
      <c r="L49" s="9">
        <f t="shared" si="0"/>
        <v>579</v>
      </c>
    </row>
    <row r="50" spans="1:12" s="10" customFormat="1" ht="18" customHeight="1">
      <c r="A50" s="2">
        <v>1295</v>
      </c>
      <c r="B50" s="2" t="s">
        <v>105</v>
      </c>
      <c r="C50" s="3" t="s">
        <v>106</v>
      </c>
      <c r="D50" s="4" t="s">
        <v>22</v>
      </c>
      <c r="E50" s="4" t="s">
        <v>107</v>
      </c>
      <c r="F50" s="5" t="s">
        <v>108</v>
      </c>
      <c r="G50" s="6">
        <v>19.916882999999999</v>
      </c>
      <c r="H50" s="6">
        <v>105.477605</v>
      </c>
      <c r="I50" s="7" t="s">
        <v>25</v>
      </c>
      <c r="J50" s="7">
        <v>28</v>
      </c>
      <c r="K50" s="8">
        <v>0.17857142857142858</v>
      </c>
      <c r="L50" s="9">
        <f t="shared" si="0"/>
        <v>5</v>
      </c>
    </row>
    <row r="51" spans="1:12" s="10" customFormat="1" ht="18" customHeight="1">
      <c r="A51" s="2">
        <v>1296</v>
      </c>
      <c r="B51" s="2" t="s">
        <v>105</v>
      </c>
      <c r="C51" s="3" t="s">
        <v>106</v>
      </c>
      <c r="D51" s="4" t="s">
        <v>22</v>
      </c>
      <c r="E51" s="4" t="s">
        <v>107</v>
      </c>
      <c r="F51" s="5" t="s">
        <v>108</v>
      </c>
      <c r="G51" s="6">
        <v>19.916882999999999</v>
      </c>
      <c r="H51" s="6">
        <v>105.477605</v>
      </c>
      <c r="I51" s="7" t="s">
        <v>25</v>
      </c>
      <c r="J51" s="7">
        <v>24</v>
      </c>
      <c r="K51" s="8">
        <v>0.41666666666666669</v>
      </c>
      <c r="L51" s="9">
        <f t="shared" si="0"/>
        <v>10</v>
      </c>
    </row>
    <row r="52" spans="1:12" s="10" customFormat="1" ht="18" customHeight="1">
      <c r="A52" s="2">
        <v>1297</v>
      </c>
      <c r="B52" s="2" t="s">
        <v>105</v>
      </c>
      <c r="C52" s="3" t="s">
        <v>106</v>
      </c>
      <c r="D52" s="4" t="s">
        <v>22</v>
      </c>
      <c r="E52" s="4" t="s">
        <v>107</v>
      </c>
      <c r="F52" s="5" t="s">
        <v>108</v>
      </c>
      <c r="G52" s="6">
        <v>19.916882999999999</v>
      </c>
      <c r="H52" s="6">
        <v>105.477605</v>
      </c>
      <c r="I52" s="7" t="s">
        <v>29</v>
      </c>
      <c r="J52" s="7">
        <v>640</v>
      </c>
      <c r="K52" s="8">
        <v>0.61250000000000004</v>
      </c>
      <c r="L52" s="9">
        <f t="shared" si="0"/>
        <v>392</v>
      </c>
    </row>
    <row r="53" spans="1:12" s="10" customFormat="1" ht="18" customHeight="1">
      <c r="A53" s="2">
        <v>1298</v>
      </c>
      <c r="B53" s="2" t="s">
        <v>109</v>
      </c>
      <c r="C53" s="3" t="s">
        <v>110</v>
      </c>
      <c r="D53" s="4" t="s">
        <v>22</v>
      </c>
      <c r="E53" s="4" t="s">
        <v>111</v>
      </c>
      <c r="F53" s="5" t="s">
        <v>112</v>
      </c>
      <c r="G53" s="6">
        <v>19.955234999999998</v>
      </c>
      <c r="H53" s="6">
        <v>105.542776</v>
      </c>
      <c r="I53" s="7" t="s">
        <v>25</v>
      </c>
      <c r="J53" s="7">
        <v>24</v>
      </c>
      <c r="K53" s="8">
        <v>0.5</v>
      </c>
      <c r="L53" s="9">
        <f t="shared" si="0"/>
        <v>12</v>
      </c>
    </row>
    <row r="54" spans="1:12" s="10" customFormat="1" ht="18" customHeight="1">
      <c r="A54" s="2">
        <v>1299</v>
      </c>
      <c r="B54" s="2" t="s">
        <v>109</v>
      </c>
      <c r="C54" s="3" t="s">
        <v>110</v>
      </c>
      <c r="D54" s="4" t="s">
        <v>22</v>
      </c>
      <c r="E54" s="4" t="s">
        <v>111</v>
      </c>
      <c r="F54" s="5" t="s">
        <v>112</v>
      </c>
      <c r="G54" s="6">
        <v>19.955234999999998</v>
      </c>
      <c r="H54" s="6">
        <v>105.542776</v>
      </c>
      <c r="I54" s="7" t="s">
        <v>25</v>
      </c>
      <c r="J54" s="7">
        <v>28</v>
      </c>
      <c r="K54" s="8">
        <v>0.8571428571428571</v>
      </c>
      <c r="L54" s="9">
        <f t="shared" si="0"/>
        <v>24</v>
      </c>
    </row>
    <row r="55" spans="1:12" s="10" customFormat="1" ht="18" customHeight="1">
      <c r="A55" s="2">
        <v>1300</v>
      </c>
      <c r="B55" s="2" t="s">
        <v>109</v>
      </c>
      <c r="C55" s="3" t="s">
        <v>110</v>
      </c>
      <c r="D55" s="4" t="s">
        <v>22</v>
      </c>
      <c r="E55" s="4" t="s">
        <v>111</v>
      </c>
      <c r="F55" s="5" t="s">
        <v>112</v>
      </c>
      <c r="G55" s="6">
        <v>19.955234999999998</v>
      </c>
      <c r="H55" s="6">
        <v>105.542776</v>
      </c>
      <c r="I55" s="7" t="s">
        <v>29</v>
      </c>
      <c r="J55" s="7">
        <v>1280</v>
      </c>
      <c r="K55" s="8">
        <v>0.96328124999999998</v>
      </c>
      <c r="L55" s="9">
        <f t="shared" si="0"/>
        <v>1233</v>
      </c>
    </row>
    <row r="56" spans="1:12" s="10" customFormat="1" ht="18" customHeight="1">
      <c r="A56" s="2">
        <v>1301</v>
      </c>
      <c r="B56" s="2" t="s">
        <v>113</v>
      </c>
      <c r="C56" s="3" t="s">
        <v>114</v>
      </c>
      <c r="D56" s="4" t="s">
        <v>22</v>
      </c>
      <c r="E56" s="4" t="s">
        <v>115</v>
      </c>
      <c r="F56" s="5" t="s">
        <v>116</v>
      </c>
      <c r="G56" s="6">
        <v>19.968350000000001</v>
      </c>
      <c r="H56" s="6">
        <v>105.52937</v>
      </c>
      <c r="I56" s="7" t="s">
        <v>25</v>
      </c>
      <c r="J56" s="7">
        <v>24</v>
      </c>
      <c r="K56" s="8">
        <v>0.29166666666666669</v>
      </c>
      <c r="L56" s="9">
        <f t="shared" si="0"/>
        <v>7</v>
      </c>
    </row>
    <row r="57" spans="1:12" s="10" customFormat="1" ht="18" customHeight="1">
      <c r="A57" s="2">
        <v>1302</v>
      </c>
      <c r="B57" s="2" t="s">
        <v>113</v>
      </c>
      <c r="C57" s="3" t="s">
        <v>114</v>
      </c>
      <c r="D57" s="4" t="s">
        <v>22</v>
      </c>
      <c r="E57" s="4" t="s">
        <v>115</v>
      </c>
      <c r="F57" s="5" t="s">
        <v>116</v>
      </c>
      <c r="G57" s="6">
        <v>19.968350000000001</v>
      </c>
      <c r="H57" s="6">
        <v>105.52937</v>
      </c>
      <c r="I57" s="7" t="s">
        <v>29</v>
      </c>
      <c r="J57" s="7">
        <v>640</v>
      </c>
      <c r="K57" s="8">
        <v>0.81562500000000004</v>
      </c>
      <c r="L57" s="9">
        <f t="shared" si="0"/>
        <v>522</v>
      </c>
    </row>
    <row r="58" spans="1:12" s="10" customFormat="1" ht="18" customHeight="1">
      <c r="A58" s="2">
        <v>1303</v>
      </c>
      <c r="B58" s="2" t="s">
        <v>117</v>
      </c>
      <c r="C58" s="3" t="s">
        <v>118</v>
      </c>
      <c r="D58" s="4" t="s">
        <v>22</v>
      </c>
      <c r="E58" s="4" t="s">
        <v>119</v>
      </c>
      <c r="F58" s="5" t="s">
        <v>120</v>
      </c>
      <c r="G58" s="6">
        <v>19.902360000000002</v>
      </c>
      <c r="H58" s="6">
        <v>105.57053000000001</v>
      </c>
      <c r="I58" s="7" t="s">
        <v>29</v>
      </c>
      <c r="J58" s="7">
        <v>320</v>
      </c>
      <c r="K58" s="8">
        <v>0.53437500000000004</v>
      </c>
      <c r="L58" s="9">
        <f t="shared" si="0"/>
        <v>171</v>
      </c>
    </row>
    <row r="59" spans="1:12" s="10" customFormat="1" ht="18" customHeight="1">
      <c r="A59" s="2">
        <v>1304</v>
      </c>
      <c r="B59" s="2" t="s">
        <v>121</v>
      </c>
      <c r="C59" s="3" t="s">
        <v>122</v>
      </c>
      <c r="D59" s="4" t="s">
        <v>22</v>
      </c>
      <c r="E59" s="4" t="s">
        <v>123</v>
      </c>
      <c r="F59" s="5" t="s">
        <v>124</v>
      </c>
      <c r="G59" s="6">
        <v>19.865680000000001</v>
      </c>
      <c r="H59" s="6">
        <v>105.4135</v>
      </c>
      <c r="I59" s="7" t="s">
        <v>25</v>
      </c>
      <c r="J59" s="7">
        <v>24</v>
      </c>
      <c r="K59" s="8">
        <v>0.625</v>
      </c>
      <c r="L59" s="9">
        <f t="shared" si="0"/>
        <v>15</v>
      </c>
    </row>
    <row r="60" spans="1:12" s="10" customFormat="1" ht="18" customHeight="1">
      <c r="A60" s="2">
        <v>1305</v>
      </c>
      <c r="B60" s="2" t="s">
        <v>121</v>
      </c>
      <c r="C60" s="3" t="s">
        <v>122</v>
      </c>
      <c r="D60" s="4" t="s">
        <v>22</v>
      </c>
      <c r="E60" s="4" t="s">
        <v>123</v>
      </c>
      <c r="F60" s="5" t="s">
        <v>124</v>
      </c>
      <c r="G60" s="6">
        <v>19.865680000000001</v>
      </c>
      <c r="H60" s="6">
        <v>105.4135</v>
      </c>
      <c r="I60" s="7" t="s">
        <v>29</v>
      </c>
      <c r="J60" s="7">
        <v>1280</v>
      </c>
      <c r="K60" s="8">
        <v>0.77500000000000002</v>
      </c>
      <c r="L60" s="9">
        <f t="shared" si="0"/>
        <v>992</v>
      </c>
    </row>
    <row r="61" spans="1:12" s="10" customFormat="1" ht="18" customHeight="1">
      <c r="A61" s="2">
        <v>1306</v>
      </c>
      <c r="B61" s="2" t="s">
        <v>125</v>
      </c>
      <c r="C61" s="3" t="s">
        <v>126</v>
      </c>
      <c r="D61" s="4" t="s">
        <v>22</v>
      </c>
      <c r="E61" s="4" t="s">
        <v>127</v>
      </c>
      <c r="F61" s="5" t="s">
        <v>128</v>
      </c>
      <c r="G61" s="6">
        <v>19.873049999999999</v>
      </c>
      <c r="H61" s="6">
        <v>105.491837</v>
      </c>
      <c r="I61" s="7" t="s">
        <v>25</v>
      </c>
      <c r="J61" s="7">
        <v>24</v>
      </c>
      <c r="K61" s="8">
        <v>0.91666666666666663</v>
      </c>
      <c r="L61" s="9">
        <f t="shared" si="0"/>
        <v>22</v>
      </c>
    </row>
    <row r="62" spans="1:12" s="10" customFormat="1" ht="18" customHeight="1">
      <c r="A62" s="2">
        <v>1307</v>
      </c>
      <c r="B62" s="2" t="s">
        <v>125</v>
      </c>
      <c r="C62" s="3" t="s">
        <v>126</v>
      </c>
      <c r="D62" s="4" t="s">
        <v>22</v>
      </c>
      <c r="E62" s="4" t="s">
        <v>127</v>
      </c>
      <c r="F62" s="5" t="s">
        <v>128</v>
      </c>
      <c r="G62" s="6">
        <v>19.873049999999999</v>
      </c>
      <c r="H62" s="6">
        <v>105.491837</v>
      </c>
      <c r="I62" s="7" t="s">
        <v>25</v>
      </c>
      <c r="J62" s="7">
        <v>24</v>
      </c>
      <c r="K62" s="8">
        <v>0.33333333333333331</v>
      </c>
      <c r="L62" s="9">
        <f t="shared" si="0"/>
        <v>8</v>
      </c>
    </row>
    <row r="63" spans="1:12" s="10" customFormat="1" ht="18" customHeight="1">
      <c r="A63" s="2">
        <v>1308</v>
      </c>
      <c r="B63" s="2" t="s">
        <v>129</v>
      </c>
      <c r="C63" s="3" t="s">
        <v>130</v>
      </c>
      <c r="D63" s="4" t="s">
        <v>22</v>
      </c>
      <c r="E63" s="4" t="s">
        <v>127</v>
      </c>
      <c r="F63" s="5" t="s">
        <v>131</v>
      </c>
      <c r="G63" s="6">
        <v>19.896799999999999</v>
      </c>
      <c r="H63" s="6">
        <v>105.50973</v>
      </c>
      <c r="I63" s="7" t="s">
        <v>25</v>
      </c>
      <c r="J63" s="7">
        <v>28</v>
      </c>
      <c r="K63" s="8">
        <v>0.35714285714285715</v>
      </c>
      <c r="L63" s="9">
        <f t="shared" si="0"/>
        <v>10</v>
      </c>
    </row>
    <row r="64" spans="1:12" s="10" customFormat="1" ht="18" customHeight="1">
      <c r="A64" s="2">
        <v>1309</v>
      </c>
      <c r="B64" s="2" t="s">
        <v>132</v>
      </c>
      <c r="C64" s="3" t="s">
        <v>133</v>
      </c>
      <c r="D64" s="4" t="s">
        <v>22</v>
      </c>
      <c r="E64" s="4" t="s">
        <v>127</v>
      </c>
      <c r="F64" s="5" t="s">
        <v>134</v>
      </c>
      <c r="G64" s="6">
        <v>19.90577</v>
      </c>
      <c r="H64" s="6">
        <v>105.5202</v>
      </c>
      <c r="I64" s="7" t="s">
        <v>25</v>
      </c>
      <c r="J64" s="7">
        <v>28</v>
      </c>
      <c r="K64" s="8">
        <v>0.10714285714285714</v>
      </c>
      <c r="L64" s="9">
        <f t="shared" si="0"/>
        <v>3</v>
      </c>
    </row>
    <row r="65" spans="1:12" s="10" customFormat="1" ht="18" customHeight="1">
      <c r="A65" s="2">
        <v>1310</v>
      </c>
      <c r="B65" s="2" t="s">
        <v>132</v>
      </c>
      <c r="C65" s="3" t="s">
        <v>133</v>
      </c>
      <c r="D65" s="4" t="s">
        <v>22</v>
      </c>
      <c r="E65" s="4" t="s">
        <v>127</v>
      </c>
      <c r="F65" s="5" t="s">
        <v>134</v>
      </c>
      <c r="G65" s="6">
        <v>19.90577</v>
      </c>
      <c r="H65" s="6">
        <v>105.5202</v>
      </c>
      <c r="I65" s="7" t="s">
        <v>25</v>
      </c>
      <c r="J65" s="7">
        <v>24</v>
      </c>
      <c r="K65" s="8">
        <v>0.125</v>
      </c>
      <c r="L65" s="9">
        <f t="shared" si="0"/>
        <v>3</v>
      </c>
    </row>
    <row r="66" spans="1:12" s="10" customFormat="1" ht="18" customHeight="1">
      <c r="A66" s="2">
        <v>1311</v>
      </c>
      <c r="B66" s="2" t="s">
        <v>135</v>
      </c>
      <c r="C66" s="3" t="s">
        <v>136</v>
      </c>
      <c r="D66" s="4" t="s">
        <v>22</v>
      </c>
      <c r="E66" s="4" t="s">
        <v>127</v>
      </c>
      <c r="F66" s="5" t="s">
        <v>137</v>
      </c>
      <c r="G66" s="6">
        <v>19.887201000000001</v>
      </c>
      <c r="H66" s="6">
        <v>105.50444899999999</v>
      </c>
      <c r="I66" s="7" t="s">
        <v>25</v>
      </c>
      <c r="J66" s="7">
        <v>24</v>
      </c>
      <c r="K66" s="8">
        <v>0.41666666666666669</v>
      </c>
      <c r="L66" s="9">
        <f t="shared" si="0"/>
        <v>10</v>
      </c>
    </row>
    <row r="67" spans="1:12" s="10" customFormat="1" ht="18" customHeight="1">
      <c r="A67" s="2">
        <v>1312</v>
      </c>
      <c r="B67" s="2" t="s">
        <v>129</v>
      </c>
      <c r="C67" s="3" t="s">
        <v>130</v>
      </c>
      <c r="D67" s="4" t="s">
        <v>22</v>
      </c>
      <c r="E67" s="4" t="s">
        <v>127</v>
      </c>
      <c r="F67" s="5" t="s">
        <v>131</v>
      </c>
      <c r="G67" s="6">
        <v>19.896799999999999</v>
      </c>
      <c r="H67" s="6">
        <v>105.50973</v>
      </c>
      <c r="I67" s="7" t="s">
        <v>29</v>
      </c>
      <c r="J67" s="7">
        <v>1280</v>
      </c>
      <c r="K67" s="8">
        <v>0.81874999999999998</v>
      </c>
      <c r="L67" s="9">
        <f t="shared" si="0"/>
        <v>1048</v>
      </c>
    </row>
    <row r="68" spans="1:12" s="10" customFormat="1" ht="18" customHeight="1">
      <c r="A68" s="2">
        <v>1313</v>
      </c>
      <c r="B68" s="2" t="s">
        <v>132</v>
      </c>
      <c r="C68" s="3" t="s">
        <v>133</v>
      </c>
      <c r="D68" s="4" t="s">
        <v>22</v>
      </c>
      <c r="E68" s="4" t="s">
        <v>127</v>
      </c>
      <c r="F68" s="5" t="s">
        <v>134</v>
      </c>
      <c r="G68" s="6">
        <v>19.90577</v>
      </c>
      <c r="H68" s="6">
        <v>105.5202</v>
      </c>
      <c r="I68" s="7" t="s">
        <v>29</v>
      </c>
      <c r="J68" s="7">
        <v>320</v>
      </c>
      <c r="K68" s="8">
        <v>0.77500000000000002</v>
      </c>
      <c r="L68" s="9">
        <f t="shared" si="0"/>
        <v>248</v>
      </c>
    </row>
    <row r="69" spans="1:12" s="10" customFormat="1" ht="18" customHeight="1">
      <c r="A69" s="2">
        <v>1314</v>
      </c>
      <c r="B69" s="2" t="s">
        <v>138</v>
      </c>
      <c r="C69" s="3" t="s">
        <v>139</v>
      </c>
      <c r="D69" s="4" t="s">
        <v>22</v>
      </c>
      <c r="E69" s="4" t="s">
        <v>140</v>
      </c>
      <c r="F69" s="5" t="s">
        <v>141</v>
      </c>
      <c r="G69" s="6">
        <v>19.937911</v>
      </c>
      <c r="H69" s="6">
        <v>105.446973</v>
      </c>
      <c r="I69" s="7" t="s">
        <v>25</v>
      </c>
      <c r="J69" s="7">
        <v>28</v>
      </c>
      <c r="K69" s="8">
        <v>0.21428571428571427</v>
      </c>
      <c r="L69" s="9">
        <f t="shared" si="0"/>
        <v>6</v>
      </c>
    </row>
    <row r="70" spans="1:12" s="10" customFormat="1" ht="18" customHeight="1">
      <c r="A70" s="2">
        <v>1315</v>
      </c>
      <c r="B70" s="2" t="s">
        <v>138</v>
      </c>
      <c r="C70" s="3" t="s">
        <v>139</v>
      </c>
      <c r="D70" s="4" t="s">
        <v>22</v>
      </c>
      <c r="E70" s="4" t="s">
        <v>140</v>
      </c>
      <c r="F70" s="5" t="s">
        <v>141</v>
      </c>
      <c r="G70" s="6">
        <v>19.937911</v>
      </c>
      <c r="H70" s="6">
        <v>105.446973</v>
      </c>
      <c r="I70" s="7" t="s">
        <v>25</v>
      </c>
      <c r="J70" s="7">
        <v>24</v>
      </c>
      <c r="K70" s="8">
        <v>0.41666666666666669</v>
      </c>
      <c r="L70" s="9">
        <f t="shared" ref="L70:L75" si="1">J70*K70</f>
        <v>10</v>
      </c>
    </row>
    <row r="71" spans="1:12" s="10" customFormat="1" ht="18" customHeight="1">
      <c r="A71" s="2">
        <v>1316</v>
      </c>
      <c r="B71" s="2" t="s">
        <v>138</v>
      </c>
      <c r="C71" s="3" t="s">
        <v>139</v>
      </c>
      <c r="D71" s="4" t="s">
        <v>22</v>
      </c>
      <c r="E71" s="4" t="s">
        <v>140</v>
      </c>
      <c r="F71" s="5" t="s">
        <v>141</v>
      </c>
      <c r="G71" s="6">
        <v>19.937911</v>
      </c>
      <c r="H71" s="6">
        <v>105.446973</v>
      </c>
      <c r="I71" s="7" t="s">
        <v>29</v>
      </c>
      <c r="J71" s="7">
        <v>640</v>
      </c>
      <c r="K71" s="8">
        <v>0.92343750000000002</v>
      </c>
      <c r="L71" s="9">
        <f t="shared" si="1"/>
        <v>591</v>
      </c>
    </row>
    <row r="72" spans="1:12" s="10" customFormat="1" ht="18" customHeight="1">
      <c r="A72" s="2">
        <v>1317</v>
      </c>
      <c r="B72" s="2" t="s">
        <v>142</v>
      </c>
      <c r="C72" s="3" t="s">
        <v>143</v>
      </c>
      <c r="D72" s="4" t="s">
        <v>22</v>
      </c>
      <c r="E72" s="4" t="s">
        <v>144</v>
      </c>
      <c r="F72" s="5" t="s">
        <v>145</v>
      </c>
      <c r="G72" s="6">
        <v>19.967770000000002</v>
      </c>
      <c r="H72" s="6">
        <v>105.49597</v>
      </c>
      <c r="I72" s="7" t="s">
        <v>25</v>
      </c>
      <c r="J72" s="7">
        <v>28</v>
      </c>
      <c r="K72" s="8">
        <v>0.25</v>
      </c>
      <c r="L72" s="9">
        <f t="shared" si="1"/>
        <v>7</v>
      </c>
    </row>
    <row r="73" spans="1:12" s="10" customFormat="1" ht="18" customHeight="1">
      <c r="A73" s="2">
        <v>1318</v>
      </c>
      <c r="B73" s="2" t="s">
        <v>142</v>
      </c>
      <c r="C73" s="3" t="s">
        <v>143</v>
      </c>
      <c r="D73" s="4" t="s">
        <v>22</v>
      </c>
      <c r="E73" s="4" t="s">
        <v>144</v>
      </c>
      <c r="F73" s="5" t="s">
        <v>145</v>
      </c>
      <c r="G73" s="6">
        <v>19.967770000000002</v>
      </c>
      <c r="H73" s="6">
        <v>105.49597</v>
      </c>
      <c r="I73" s="7" t="s">
        <v>25</v>
      </c>
      <c r="J73" s="7">
        <v>24</v>
      </c>
      <c r="K73" s="8">
        <v>0.625</v>
      </c>
      <c r="L73" s="9">
        <f t="shared" si="1"/>
        <v>15</v>
      </c>
    </row>
    <row r="74" spans="1:12" s="10" customFormat="1" ht="18" customHeight="1">
      <c r="A74" s="2">
        <v>1319</v>
      </c>
      <c r="B74" s="2" t="s">
        <v>142</v>
      </c>
      <c r="C74" s="3" t="s">
        <v>143</v>
      </c>
      <c r="D74" s="4" t="s">
        <v>22</v>
      </c>
      <c r="E74" s="4" t="s">
        <v>144</v>
      </c>
      <c r="F74" s="5" t="s">
        <v>145</v>
      </c>
      <c r="G74" s="6">
        <v>19.967770000000002</v>
      </c>
      <c r="H74" s="6">
        <v>105.49597</v>
      </c>
      <c r="I74" s="7" t="s">
        <v>29</v>
      </c>
      <c r="J74" s="7">
        <v>1280</v>
      </c>
      <c r="K74" s="8">
        <v>0.65</v>
      </c>
      <c r="L74" s="9">
        <f t="shared" si="1"/>
        <v>832</v>
      </c>
    </row>
    <row r="75" spans="1:12" s="10" customFormat="1" ht="18" customHeight="1">
      <c r="A75" s="2">
        <v>1320</v>
      </c>
      <c r="B75" s="2" t="s">
        <v>146</v>
      </c>
      <c r="C75" s="3" t="s">
        <v>147</v>
      </c>
      <c r="D75" s="4" t="s">
        <v>22</v>
      </c>
      <c r="E75" s="4" t="s">
        <v>148</v>
      </c>
      <c r="F75" s="5" t="s">
        <v>149</v>
      </c>
      <c r="G75" s="6">
        <v>19.934442000000001</v>
      </c>
      <c r="H75" s="6">
        <v>105.51222799999999</v>
      </c>
      <c r="I75" s="7" t="s">
        <v>29</v>
      </c>
      <c r="J75" s="7">
        <v>640</v>
      </c>
      <c r="K75" s="8">
        <v>0.71406250000000004</v>
      </c>
      <c r="L75" s="9">
        <f t="shared" si="1"/>
        <v>457</v>
      </c>
    </row>
  </sheetData>
  <mergeCells count="12">
    <mergeCell ref="G3:G4"/>
    <mergeCell ref="H3:H4"/>
    <mergeCell ref="I3:I4"/>
    <mergeCell ref="J3:K3"/>
    <mergeCell ref="A2:A4"/>
    <mergeCell ref="B2:C4"/>
    <mergeCell ref="D2:F2"/>
    <mergeCell ref="G2:H2"/>
    <mergeCell ref="I2:K2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KIEM TRA </vt:lpstr>
      <vt:lpstr>THO XUAN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Thanhnek</dc:creator>
  <cp:lastModifiedBy>dell7</cp:lastModifiedBy>
  <dcterms:created xsi:type="dcterms:W3CDTF">2015-06-05T18:17:20Z</dcterms:created>
  <dcterms:modified xsi:type="dcterms:W3CDTF">2025-02-27T02:20:03Z</dcterms:modified>
</cp:coreProperties>
</file>