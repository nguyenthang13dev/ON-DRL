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HieuCMS\Downloads\"/>
    </mc:Choice>
  </mc:AlternateContent>
  <bookViews>
    <workbookView xWindow="-105" yWindow="-105" windowWidth="21825" windowHeight="14025" tabRatio="757" activeTab="1"/>
  </bookViews>
  <sheets>
    <sheet name="Thể chế số" sheetId="55" r:id="rId1"/>
    <sheet name="Hoạt động chính quyền số" sheetId="54" r:id="rId2"/>
  </sheets>
  <definedNames>
    <definedName name="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0" i="54" l="1" a="1"/>
  <c r="H80" i="54" a="1"/>
  <c r="E80" i="54" a="1"/>
  <c r="I78" i="54" a="1"/>
  <c r="I77" i="54" a="1"/>
  <c r="H77" i="54" a="1"/>
  <c r="H78" i="54" a="1"/>
  <c r="E77" i="54" a="1"/>
  <c r="E78" i="54" a="1"/>
  <c r="H76" i="54" a="1"/>
  <c r="I74" i="54" a="1"/>
  <c r="H75" i="54" a="1"/>
  <c r="E74" i="54" a="1"/>
  <c r="E75" i="54" a="1"/>
  <c r="E76" i="54" a="1"/>
  <c r="I72" i="54" a="1"/>
  <c r="H72" i="54" a="1"/>
  <c r="E72" i="54" a="1"/>
  <c r="H71" i="54" a="1"/>
  <c r="I71" i="54" a="1"/>
  <c r="E71" i="54" a="1"/>
  <c r="I70" i="54" a="1"/>
  <c r="H70" i="54" a="1"/>
  <c r="E70" i="54" a="1"/>
  <c r="I66" i="54" a="1"/>
  <c r="H67" i="54" a="1"/>
  <c r="E67" i="54" a="1"/>
  <c r="E66" i="54" a="1"/>
  <c r="I63" i="54" a="1"/>
  <c r="H64" i="54" a="1"/>
  <c r="E63" i="54" a="1"/>
  <c r="E64" i="54" a="1"/>
  <c r="I61" i="54" a="1"/>
  <c r="H61" i="54" a="1"/>
  <c r="E61" i="54" a="1"/>
  <c r="I59" i="54" a="1"/>
  <c r="H59" i="54" a="1"/>
  <c r="E59" i="54" a="1"/>
  <c r="H56" i="54" a="1"/>
  <c r="I55" i="54" a="1"/>
  <c r="E55" i="54" a="1"/>
  <c r="E56" i="54" a="1"/>
  <c r="I51" i="54" a="1"/>
  <c r="I52" i="54" a="1"/>
  <c r="I49" i="54" a="1"/>
  <c r="I50" i="54" a="1"/>
  <c r="I54" i="54" a="1"/>
  <c r="I47" i="54" a="1"/>
  <c r="I53" i="54" a="1"/>
  <c r="I48" i="54" a="1"/>
  <c r="I45" i="54" a="1"/>
  <c r="I46" i="54" a="1"/>
  <c r="I44" i="54" a="1"/>
  <c r="H45" i="54" a="1"/>
  <c r="H53" i="54" a="1"/>
  <c r="H52" i="54" a="1"/>
  <c r="H50" i="54" a="1"/>
  <c r="H48" i="54" a="1"/>
  <c r="H54" i="54" a="1"/>
  <c r="H46" i="54" a="1"/>
  <c r="H49" i="54" a="1"/>
  <c r="H51" i="54" a="1"/>
  <c r="H47" i="54" a="1"/>
  <c r="H44" i="54" a="1"/>
  <c r="I43" i="54" a="1"/>
  <c r="E44" i="54" a="1"/>
  <c r="E48" i="54" a="1"/>
  <c r="E52" i="54" a="1"/>
  <c r="E49" i="54" a="1"/>
  <c r="E53" i="54" a="1"/>
  <c r="E45" i="54" a="1"/>
  <c r="E46" i="54" a="1"/>
  <c r="E54" i="54" a="1"/>
  <c r="E51" i="54" a="1"/>
  <c r="E50" i="54" a="1"/>
  <c r="E47" i="54" a="1"/>
  <c r="H41" i="54" a="1"/>
  <c r="E39" i="54" a="1"/>
  <c r="I39" i="54" a="1"/>
  <c r="E41" i="54" a="1"/>
  <c r="H40" i="54" a="1"/>
  <c r="E40" i="54" a="1"/>
  <c r="E37" i="54" a="1"/>
  <c r="H37" i="54" a="1"/>
  <c r="I36" i="54" a="1"/>
  <c r="E36" i="54" a="1"/>
  <c r="I33" i="54" a="1"/>
  <c r="E34" i="54" a="1"/>
  <c r="E33" i="54" a="1"/>
  <c r="H34" i="54" a="1"/>
  <c r="E31" i="54" a="1"/>
  <c r="I30" i="54" a="1"/>
  <c r="E30" i="54" a="1"/>
  <c r="H31" i="54" a="1"/>
  <c r="H29" i="54" a="1"/>
  <c r="I29" i="54" a="1"/>
  <c r="E29" i="54" a="1"/>
  <c r="I28" i="54" a="1"/>
  <c r="H28" i="54" a="1"/>
  <c r="E28" i="54" a="1"/>
  <c r="H26" i="54" a="1"/>
  <c r="E26" i="54" a="1"/>
  <c r="I25" i="54" a="1"/>
  <c r="E25" i="54" a="1"/>
  <c r="I22" i="54" a="1"/>
  <c r="H23" i="54" a="1"/>
  <c r="E22" i="54" a="1"/>
  <c r="E23" i="54" a="1"/>
  <c r="I19" i="54" a="1"/>
  <c r="H20" i="54" a="1"/>
  <c r="E20" i="54" a="1"/>
  <c r="E19" i="54" a="1"/>
  <c r="H17" i="54" a="1"/>
  <c r="I16" i="54" a="1"/>
  <c r="E16" i="54" a="1"/>
  <c r="E17" i="54" a="1"/>
  <c r="H14" i="54" a="1"/>
  <c r="I13" i="54" a="1"/>
  <c r="H15" i="54" a="1"/>
  <c r="E14" i="54" a="1"/>
  <c r="E13" i="54" a="1"/>
  <c r="E15" i="54" a="1"/>
  <c r="I12" i="54" a="1"/>
  <c r="I8" i="54" a="1"/>
  <c r="H80" i="54" l="1"/>
  <c r="I80" i="54"/>
  <c r="E80" i="54"/>
  <c r="I78" i="54"/>
  <c r="I77" i="54"/>
  <c r="H78" i="54"/>
  <c r="H77" i="54"/>
  <c r="E78" i="54"/>
  <c r="E77" i="54"/>
  <c r="H76" i="54"/>
  <c r="H75" i="54"/>
  <c r="I74" i="54"/>
  <c r="E74" i="54"/>
  <c r="E76" i="54"/>
  <c r="E75" i="54"/>
  <c r="H72" i="54"/>
  <c r="I72" i="54"/>
  <c r="E72" i="54"/>
  <c r="I71" i="54"/>
  <c r="H71" i="54"/>
  <c r="E71" i="54"/>
  <c r="I70" i="54"/>
  <c r="H70" i="54"/>
  <c r="E70" i="54"/>
  <c r="E66" i="54"/>
  <c r="E67" i="54"/>
  <c r="H67" i="54"/>
  <c r="I66" i="54"/>
  <c r="E64" i="54"/>
  <c r="E63" i="54"/>
  <c r="H64" i="54"/>
  <c r="I63" i="54"/>
  <c r="H61" i="54"/>
  <c r="I61" i="54"/>
  <c r="E61" i="54"/>
  <c r="I59" i="54"/>
  <c r="H59" i="54"/>
  <c r="E59" i="54"/>
  <c r="E56" i="54"/>
  <c r="E55" i="54"/>
  <c r="I55" i="54"/>
  <c r="H56" i="54"/>
  <c r="I46" i="54"/>
  <c r="I45" i="54"/>
  <c r="I48" i="54"/>
  <c r="I53" i="54"/>
  <c r="I47" i="54"/>
  <c r="I54" i="54"/>
  <c r="I50" i="54"/>
  <c r="I49" i="54"/>
  <c r="I52" i="54"/>
  <c r="I51" i="54"/>
  <c r="I44" i="54"/>
  <c r="H47" i="54"/>
  <c r="H51" i="54"/>
  <c r="H49" i="54"/>
  <c r="H46" i="54"/>
  <c r="H54" i="54"/>
  <c r="H48" i="54"/>
  <c r="H50" i="54"/>
  <c r="H52" i="54"/>
  <c r="H53" i="54"/>
  <c r="H45" i="54"/>
  <c r="H44" i="54"/>
  <c r="I43" i="54"/>
  <c r="E47" i="54"/>
  <c r="E50" i="54"/>
  <c r="E51" i="54"/>
  <c r="E54" i="54"/>
  <c r="E46" i="54"/>
  <c r="E45" i="54"/>
  <c r="E53" i="54"/>
  <c r="E49" i="54"/>
  <c r="E52" i="54"/>
  <c r="E48" i="54"/>
  <c r="E44" i="54"/>
  <c r="E40" i="54"/>
  <c r="H40" i="54"/>
  <c r="E41" i="54"/>
  <c r="I39" i="54"/>
  <c r="E39" i="54"/>
  <c r="H41" i="54"/>
  <c r="E36" i="54"/>
  <c r="I36" i="54"/>
  <c r="H37" i="54"/>
  <c r="E37" i="54"/>
  <c r="H34" i="54"/>
  <c r="E33" i="54"/>
  <c r="E34" i="54"/>
  <c r="I33" i="54"/>
  <c r="E31" i="54"/>
  <c r="H31" i="54"/>
  <c r="E30" i="54"/>
  <c r="I30" i="54"/>
  <c r="I29" i="54"/>
  <c r="H29" i="54"/>
  <c r="E29" i="54"/>
  <c r="I28" i="54"/>
  <c r="H28" i="54"/>
  <c r="E28" i="54"/>
  <c r="E25" i="54"/>
  <c r="I25" i="54"/>
  <c r="E26" i="54"/>
  <c r="H26" i="54"/>
  <c r="H23" i="54"/>
  <c r="I22" i="54"/>
  <c r="E23" i="54"/>
  <c r="E22" i="54"/>
  <c r="H20" i="54"/>
  <c r="I19" i="54"/>
  <c r="E19" i="54"/>
  <c r="E20" i="54"/>
  <c r="I16" i="54"/>
  <c r="H17" i="54"/>
  <c r="E17" i="54"/>
  <c r="E16" i="54"/>
  <c r="H15" i="54"/>
  <c r="I13" i="54"/>
  <c r="H14" i="54"/>
  <c r="E15" i="54"/>
  <c r="E13" i="54"/>
  <c r="E14" i="54"/>
  <c r="I12" i="54"/>
  <c r="I8" i="54"/>
  <c r="H12" i="54" a="1"/>
  <c r="E12" i="54" a="1"/>
  <c r="H9" i="54" a="1"/>
  <c r="H10" i="54" a="1"/>
  <c r="E8" i="54" a="1"/>
  <c r="E9" i="54" a="1"/>
  <c r="E10" i="54" a="1"/>
  <c r="H7" i="54" a="1"/>
  <c r="H12" i="54" l="1"/>
  <c r="E12" i="54"/>
  <c r="H10" i="54"/>
  <c r="H9" i="54"/>
  <c r="E10" i="54"/>
  <c r="E9" i="54"/>
  <c r="E8" i="54"/>
  <c r="H7" i="54"/>
  <c r="I5" i="54" a="1"/>
  <c r="I3" i="54" a="1"/>
  <c r="H6" i="54" a="1"/>
  <c r="E7" i="54" a="1"/>
  <c r="E6" i="54" a="1"/>
  <c r="E5" i="54" a="1"/>
  <c r="I6" i="55" a="1"/>
  <c r="I7" i="55" a="1"/>
  <c r="I5" i="55" a="1"/>
  <c r="I4" i="55" a="1"/>
  <c r="H8" i="55" a="1"/>
  <c r="H6" i="55" a="1"/>
  <c r="H5" i="55" a="1"/>
  <c r="I3" i="55" a="1"/>
  <c r="H4" i="55" a="1"/>
  <c r="E6" i="55" a="1"/>
  <c r="E7" i="55" a="1"/>
  <c r="E5" i="55" a="1"/>
  <c r="E8" i="55" a="1"/>
  <c r="E4" i="55" a="1"/>
  <c r="I5" i="54" l="1"/>
  <c r="I3" i="54"/>
  <c r="H6" i="54"/>
  <c r="E7" i="54"/>
  <c r="E6" i="54"/>
  <c r="E5" i="54"/>
  <c r="I5" i="55"/>
  <c r="I7" i="55"/>
  <c r="I6" i="55"/>
  <c r="I4" i="55"/>
  <c r="H8" i="55"/>
  <c r="H6" i="55"/>
  <c r="H5" i="55"/>
  <c r="I3" i="55"/>
  <c r="H4" i="55"/>
  <c r="E8" i="55"/>
  <c r="E5" i="55"/>
  <c r="E7" i="55"/>
  <c r="E6" i="55"/>
  <c r="E4" i="55"/>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<sst xmlns="http://schemas.openxmlformats.org/spreadsheetml/2006/main" count="315" uniqueCount="150">
  <si>
    <t>STT</t>
  </si>
  <si>
    <t>Điểm tối đa</t>
  </si>
  <si>
    <t>Tài liệu kiểm chứng</t>
  </si>
  <si>
    <t>Điểm tự đánh giá</t>
  </si>
  <si>
    <t>Văn bản, tài liệu chứng minh</t>
  </si>
  <si>
    <t>Chỉ số/Chỉ số thành phần</t>
  </si>
  <si>
    <t>Số liệu kê khai</t>
  </si>
  <si>
    <t>Cách xác định và tính điểm</t>
  </si>
  <si>
    <t>Thể chế số</t>
  </si>
  <si>
    <t>Chỉ sốChỉ số thành phần</t>
  </si>
  <si>
    <t>a</t>
  </si>
  <si>
    <t>b</t>
  </si>
  <si>
    <t>Hoạt động chính quyền số</t>
  </si>
  <si>
    <t>Gửi nhận văn bản điện tử</t>
  </si>
  <si>
    <t>Tỷ lệ văn bản đi, đến được gửi nhận điện tử tích hợp ký số thay thế hoàn toàn văn bản giấy (trừ văn bản mật theo quy định)</t>
  </si>
  <si>
    <t>Tỷ lệ hồ sơ công việc được xử lý trên môi trường mạng</t>
  </si>
  <si>
    <t>Dịch vụ công trực tuyến</t>
  </si>
  <si>
    <t>Công khai TTHC trên Hệ thống thông tin giải quyết TTHC của tỉnh và Cổng/trang thông tin điện tử cơ quan, đơn vị; Bộ phận tiếp nhận trả kết quả cấp huyện</t>
  </si>
  <si>
    <t xml:space="preserve">Tỷ lệ dịch vụ công trực tuyến toàn trình </t>
  </si>
  <si>
    <t>Tỷ lệ hồ sơ trực tuyến toàn trình</t>
  </si>
  <si>
    <t xml:space="preserve">Tỷ lệ dịch vụ công trực tuyến toàn trình phát sinh hồ sơ </t>
  </si>
  <si>
    <t>Tỷ lệ hồ sơ trực tuyến liên thông huyện, xã</t>
  </si>
  <si>
    <t>Tỷ lệ hồ sơ được cập nhật đầy đủ quy trình, thành phần hồ sơ trên hệ thống Cổng dịch vụ công của tỉnh</t>
  </si>
  <si>
    <t>Tỷ lệ hồ sơ được tiếp nhận qua dịch vụ bưu chính công ích trên tổng số hồ sơ tiếp nhận trong năm</t>
  </si>
  <si>
    <t>Tỷ lệ hồ sơ được trả kết quả qua dịch vụ bưu chính công ích trên tổng số hồ sơ tiếp nhận trong năm</t>
  </si>
  <si>
    <t>Tỷ lệ dịch vụ công triển khai thanh toán trực tuyến phí lệ phí</t>
  </si>
  <si>
    <t>Tỷ lệ hồ sơ thanh toán trực tuyến phí lệ phí</t>
  </si>
  <si>
    <t>Tỷ lệ số hóa hồ sơ, kết quả giải quyết TTHC</t>
  </si>
  <si>
    <t>Tỷ lệ người dân và doanh nghiệp hài lòng về kết quả giải quyết TTHC</t>
  </si>
  <si>
    <t xml:space="preserve">Cổng/trang thông tin điện tử </t>
  </si>
  <si>
    <t>Cổng/trang thông tin điện tử cung cấp các thông tin cơ bản theo quy định Nghị định 42/2022/NĐ-CP, bao gồm</t>
  </si>
  <si>
    <t>5.15.1</t>
  </si>
  <si>
    <t>Văn bản quy phạm pháp luật và văn bản quản lý hành chính</t>
  </si>
  <si>
    <t>5.15.2</t>
  </si>
  <si>
    <t>Thủ tục hành chính, dịch vụ công trực tuyến, quy trình giải quyết hoặc tích hợp từ Cổng Dịch vụ công của tỉnh.</t>
  </si>
  <si>
    <t>5.15.3</t>
  </si>
  <si>
    <t>Thông tin phổ biến, hướng dẫn thực hiện pháp luật, chế độ, chính sách thuộc phạm vi quản lý.</t>
  </si>
  <si>
    <t>5.15.4</t>
  </si>
  <si>
    <t>Chiến lược, chương trình, dự án, đề án, kế hoạch, quy hoạch phát triển ngành, địa phương; Kết quả triển khai</t>
  </si>
  <si>
    <t>5.15.5</t>
  </si>
  <si>
    <t>Thông tin về tổ chức bộ máy hành chính, bản đồ địa giới hành chính đến cấp xã, điều kiện tự nhiên, lịch sử, truyền thống văn hóa, di tích, danh thắng; tiểu sử tóm tắt và nhiệm vụ đảm nhiệm của lãnh đạo cơ quan.</t>
  </si>
  <si>
    <t>5.15.6</t>
  </si>
  <si>
    <t>Báo cáo tài chính năm; thông tin thống kê về ngành, lĩnh vực quản lý; thông tin về danh mục và kết quả chương trình, đề tài khoa học; thông tin về dịch bệnh truyền nhiễm.</t>
  </si>
  <si>
    <t>5.15.7</t>
  </si>
  <si>
    <t>Hỗ trợ tìm kiếm, liên kết và lưu trữ thông tin</t>
  </si>
  <si>
    <t>5.15.8</t>
  </si>
  <si>
    <t>Cung cấp thông tin bằng tiếng nước ngoài</t>
  </si>
  <si>
    <t>Cổng/trang thông tin điện tử có chuyên mục chuyển đổi số</t>
  </si>
  <si>
    <t>Cổng/trang thông tin điện tử chuyển đổi sang công nghệ IPv6</t>
  </si>
  <si>
    <t xml:space="preserve">Thời gian cập nhật, đăng tải tin bài </t>
  </si>
  <si>
    <t>Tỷ lệ đơn vị cấp xã trực thuộc có Trang thông tin điện tử hoặc trang thành phần trênCổng/Trang thông tin điện tử của huyện</t>
  </si>
  <si>
    <t>Hệ thống hội nghị trực tuyến</t>
  </si>
  <si>
    <t>Số lượng cuộc họp trực tuyến do đơn vị tổ chức trong năm</t>
  </si>
  <si>
    <t>Hệ thống thông tin báo cáo của tỉnh</t>
  </si>
  <si>
    <t>Thực hiện báo cáo trực tuyến thông qua hệ thống của tỉnh</t>
  </si>
  <si>
    <t>Thư điện tử</t>
  </si>
  <si>
    <t>Tỷ lệ cán bộ công chức được cấp hộp thư điện tử công vụ</t>
  </si>
  <si>
    <t>Tỷ lệ cán bộ công chức sử dụng thư điện tử công vụ</t>
  </si>
  <si>
    <t>Ứng dụng các phần mềm nội bộ khác</t>
  </si>
  <si>
    <t>Phần mềm quản lý hồ sơ cán bộ công chức</t>
  </si>
  <si>
    <t>Phần mềm quản lý đơn thư, khiếu nại và tố cáo</t>
  </si>
  <si>
    <t>Hệ thống truyền thanh</t>
  </si>
  <si>
    <t>Tỷ lệ hệ thống truyền thanh cấp huyện và cấp xã ứng dụng công nghệ thông tin - viễn thông</t>
  </si>
  <si>
    <t>Hệ thống truyền thanh cấp huyện và cơ sở có chuyên mục riêng về chuyển đổi số</t>
  </si>
  <si>
    <t>Tần suất hệ thống truyền thanh cấp huyện và cơ sở phát sóng chuyên mục riêng về chuyển đổi số</t>
  </si>
  <si>
    <t>Chi ngân sách nhà nước cho chuyển đổi số</t>
  </si>
  <si>
    <t>Thành lập Ban chỉ đạo Chuyển đổi số cấp huyện</t>
  </si>
  <si>
    <t>Ban hành Nghị quyết cấp ủy về chuyển đổi số</t>
  </si>
  <si>
    <t>Ban hành Kế hoạch chuyển đổi số hàng năm</t>
  </si>
  <si>
    <t>Ban hành văn bản chỉ đạo về chuyển đổi số trong năm</t>
  </si>
  <si>
    <t>Có:
- 01 văn bản tương ứng 05 điểm;
- Tổng điểm không quá 30
Không: 0 điểm</t>
  </si>
  <si>
    <t xml:space="preserve"> - Có: Điểm tối đa
 - Không: 0 điểm</t>
  </si>
  <si>
    <t xml:space="preserve"> - Đẩy đủ, kịp thời: Điểm tối đa
 - Không đầy đủ hoặc không kịp thời: 0 điểm</t>
  </si>
  <si>
    <t>Số văn bản chỉ đạo về chuyển đổi số</t>
  </si>
  <si>
    <t>&gt;=5% hoặc tiếp nhận 100% qua DVC trực tuyến: Điểm tối đa
&lt; 5%: 0 điểm</t>
  </si>
  <si>
    <t>&gt;=20% hoặc trả trả kết quả hồ sơ 100% qua DVC trực tuyến: Điểm tối đa
&lt; 20%: 0 điểm</t>
  </si>
  <si>
    <t xml:space="preserve"> - Hàng tuần: Điểm tối đa 
 - Hàng tháng: 5 điểm 
 - Chưa có chuyên mục: 0 điểm</t>
  </si>
  <si>
    <t xml:space="preserve"> - Có: Điểm tối đa 
 - Không: 0 điểm</t>
  </si>
  <si>
    <t xml:space="preserve"> - Hàng ngày: 10 điểm 
 - Hàng tuần: 5 điểm 
 - Hàng tháng: 2 điểm</t>
  </si>
  <si>
    <t>&gt;=30 cuộc họp: 50 điểm 
20 - &lt;30 cuộc họp: 40 điểm 
10 - &lt;20 cuộc họp: 30 điểm 
&lt;10: 0 điểm</t>
  </si>
  <si>
    <t xml:space="preserve"> - Đúng hạn: 40 điểm 
 - Quá hạn: 20 điểm 
 - Chưa thực hiện: 0 điểm</t>
  </si>
  <si>
    <t xml:space="preserve"> - Cập nhật đầy đủ thông tin: 10 điểm 
 - Cập nhật chưa đầy đủ thông tin: 5 điểm 
 - Chưa cập nhật: 0 điểm</t>
  </si>
  <si>
    <t xml:space="preserve"> - Có: 10 điểm 
 - Không: 0 điểm</t>
  </si>
  <si>
    <t xml:space="preserve"> - Hàng tuần: 10 điểm 
 - Hàng tháng: 5 điểm 
 - Hàng quý: 2 điểm</t>
  </si>
  <si>
    <t>Tổng chi ngân sách nhà nước cho chuyển đổi số trong năm tại cơ quan, đơn vị:
 - Đầu tư hạ tầng CNTT:
 - Đầu tư ứng dụng CNTT:
 - Đảm bảo an toàn thông tin 
 - Đào tạo nguồn nhân lực:
 - Chi thường xuyên cho CNTT:</t>
  </si>
  <si>
    <t>&gt;=500 triệu: 40 điểm 
350 - &lt;500 triệu: 20 điểm 
200 - &lt;350 triệu: 10 điểm 
&lt;200 triệu: 0 điểm</t>
  </si>
  <si>
    <t xml:space="preserve">Cổngtrang thông tin điện tử </t>
  </si>
  <si>
    <t>Cổngtrang thông tin điện tử có chuyên mục chuyển đổi số</t>
  </si>
  <si>
    <t>Cổngtrang thông tin điện tử chuyển đổi sang công nghệ IPv6</t>
  </si>
  <si>
    <t>Tỷ lệ đơn vị cấp xã trực thuộc có Trang thông tin điện tử hoặc trang thành phần trênCổngTrang thông tin điện tử của huyện</t>
  </si>
  <si>
    <t>Tỷ lệ hệ thống truyền thanh cấp huyện và cấp xã ứng dụng công nghệ thông tin  viễn thông</t>
  </si>
  <si>
    <t>Tỷ lệ hồ sơ trực tuyến liên thông huyện xã</t>
  </si>
  <si>
    <t>Tỷ lệ hồ sơ được cập nhật đầy đủ quy trình thành phần hồ sơ trên hệ thống Cổng dịch vụ công của tỉnh</t>
  </si>
  <si>
    <t>Tỷ lệ số hóa hồ sơ kết quả giải quyết TTHC</t>
  </si>
  <si>
    <t>Cổngtrang thông tin điện tử cung cấp các thông tin cơ bản theo quy định Nghị định 422022NĐCP bao gồm</t>
  </si>
  <si>
    <t>Hỗ trợ tìm kiếm liên kết và lưu trữ thông tin</t>
  </si>
  <si>
    <t xml:space="preserve">Thời gian cập nhật đăng tải tin bài </t>
  </si>
  <si>
    <t>Phần mềm quản lý đơn thư khiếu nại và tố cáo</t>
  </si>
  <si>
    <t>Có: 
 - 01 ứng dụng tương ứng 04 điểm;
 - Tổng điểm không quá 20 điểm Không: 0 điểm</t>
  </si>
  <si>
    <t>Ứng dụng các phần mềm chuyên ngành khác (Liệt kê ứng dụng):………</t>
  </si>
  <si>
    <t>Ứng dụng các phần mềm chuyên ngành khác Liệt kê ứng dụng</t>
  </si>
  <si>
    <t>5.10</t>
  </si>
  <si>
    <t>5.20</t>
  </si>
  <si>
    <t>Tổng số văn bản đi, đến được gửi nhận điện tử tích hợp ký số thay thế hoàn toàn văn bản giấy (trừ văn bản mật theo quy định)</t>
  </si>
  <si>
    <t>Tổng số văn bản đến và đi của UBND cấp huyện</t>
  </si>
  <si>
    <t>Tỷ lệ văn bản đi đến được gửi nhận điện tử tích hợp ký số</t>
  </si>
  <si>
    <t>Tổng số văn bản đi, đến được gửi nhận điện tử tích hợp ký số</t>
  </si>
  <si>
    <t>Tổng số hồ sơ công việc được xử lý trên môi trường mạng</t>
  </si>
  <si>
    <t xml:space="preserve">Tổng số hồ sơ </t>
  </si>
  <si>
    <t>Tỷ lệ = a/b
Điểm = Tỷ lệ% x Điểm tối đa</t>
  </si>
  <si>
    <t>Công khai TTHC trên Hệ thống thông tin giải quyết TTHC của tỉnh</t>
  </si>
  <si>
    <t>Tổng số dịch vụ công trực tuyến toàn trình</t>
  </si>
  <si>
    <t>Tổng số DVCTT cấp huyện</t>
  </si>
  <si>
    <t>Tổng số hồ sơ trực tuyến toàn trình</t>
  </si>
  <si>
    <t>Tổng số dịch vụ công trực tuyến toàn trình phát sinh hồ sơ</t>
  </si>
  <si>
    <t>Tổng số hồ sơ trực tuyến liên thông huyện, xã</t>
  </si>
  <si>
    <t xml:space="preserve">Được kê khai tại tiêu chí 5.2.b: Tổng số hồ sơ (Nhóm Hoạt động chính quyền số) </t>
  </si>
  <si>
    <t>Tổng số hồ sơ trực tuyến liên thông huyện xã</t>
  </si>
  <si>
    <t>Tổng số hồ sơ được cập nhật đầy đủ quy trình, thành phần hồ sơ trên hệ thống Cổng dịch vụ công của tỉnh</t>
  </si>
  <si>
    <t>Tổng số hồ sơ được cập nhật đầy đủ quy trình thành phần hồ sơ trên hệ thống Cổng dịch vụ công của tỉnh</t>
  </si>
  <si>
    <t>Tỷ lệ hồ sơ được tiếp nhận qua dịch vụ bưu chính</t>
  </si>
  <si>
    <t>Tỷ lệ hồ sơ được trả kết quả qua dịch vụ bưu chính</t>
  </si>
  <si>
    <t>Tổng số dịch vụ công triển khai thanh toán trực tuyến phí lệ phí</t>
  </si>
  <si>
    <t xml:space="preserve">Được kê khai tại tiêu chí 5.4.b: Tổng số DVCTT cấp huyện (Nhóm Hoạt động chính quyền số) </t>
  </si>
  <si>
    <t>Tổng số hồ sơ thanh toán trực tuyến phí lệ phí</t>
  </si>
  <si>
    <t>Tổng số số hóa hồ sơ, kết quả giải quyết TTHC</t>
  </si>
  <si>
    <t>Tổng số số hóa hồ sơ kết quả giải quyết TTHC</t>
  </si>
  <si>
    <t>Số lượng người dân và doanh nghiệp đánh giá hài lòng về kết quả giải quyết TTHC</t>
  </si>
  <si>
    <t>Tổng số người dân và doanh nghiệp tham gia đánh giá mức độ hài lòng về kết quả giải quyết TTHC</t>
  </si>
  <si>
    <t>Cộng điểm từ 5.15.1 đến 5.15.8</t>
  </si>
  <si>
    <t>Thủ tục hành chính dịch vụ công trực tuyến</t>
  </si>
  <si>
    <t>Thông tin phổ biến hướng dẫn thực hiện</t>
  </si>
  <si>
    <t>Chiến lược chương trình dự án đề án kế hoạch quy hoạch</t>
  </si>
  <si>
    <t>Thông tin về tổ chức bộ máy hành chính bản đồ địa giới hành chính</t>
  </si>
  <si>
    <t>Báo cáo tài chính năm thông tin thống kê về ngành lĩnh vực quản lý</t>
  </si>
  <si>
    <t>Tổng số đơn vị cấp xã trực thuộc có Trang thông tin điện tử hoặc trang thành phần trênCổng/Trang thông tin điện tử của huyện</t>
  </si>
  <si>
    <t>Tổng số lượng cấp xã trong huyện</t>
  </si>
  <si>
    <t xml:space="preserve">Được kê khai tại tiêu chí 3.5.b: Tổng số lượng cấp xã trong huyện (Nhóm Nhân lực số) </t>
  </si>
  <si>
    <t>Tổng số đơn vị cấp xã trực thuộc có Trang thông tin điện tử</t>
  </si>
  <si>
    <t>Tổng số cán bộ công chức được cấp hộp thư điện tử công vụ</t>
  </si>
  <si>
    <t>Tổng số cán bộ công chức</t>
  </si>
  <si>
    <t xml:space="preserve">Được kê khai tại tiêu chí 1.6: Tổng số cán bộ công chức (Nhóm Thông tin chung) </t>
  </si>
  <si>
    <t>Tổng số cán bộ công chức sử dụng thư điện tử công vụ</t>
  </si>
  <si>
    <t>Tổng số hệ thống truyền thanh cấp huyện và cấp xã ứng dụng công nghệ thông tin - viễn thông</t>
  </si>
  <si>
    <t xml:space="preserve">Tổng số hệ thống truyền thanh cấp huyện và cấp xã </t>
  </si>
  <si>
    <t>Tổng số hệ thống truyền thanh cấp huyện và cấp xã ứng dụng công nghệ thông tin  viễn thông</t>
  </si>
  <si>
    <t>Hệ thống truyền thanh cấp huyện</t>
  </si>
  <si>
    <t>Tần suất hệ thống truyền thanh cấp huyện</t>
  </si>
  <si>
    <t>Tổng chi ngân sách nhà nước cho chuyển đổi số trong năm</t>
  </si>
  <si>
    <t>5.30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</si>
</sst>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theme="1"/>
      <name val="Calibri"/>
      <family val="2"/>
      <charset val="163"/>
      <scheme val="minor"/>
    </font>
    <font>
      <b/>
      <sz val="14"/>
      <color theme="1"/>
      <name val="Times New Roman"/>
      <family val="1"/>
    </font>
    <font>
      <b/>
      <sz val="14"/>
      <color rgb="FF000000"/>
      <name val="Times New Roman"/>
      <family val="1"/>
    </font>
    <font>
      <sz val="14"/>
      <color rgb="FF000000"/>
      <name val="Times New Roman"/>
      <family val="1"/>
    </font>
    <font>
      <sz val="14"/>
      <color theme="1"/>
      <name val="Times New Roman"/>
      <family val="1"/>
    </font>
    <font>
      <b/>
      <sz val="11"/>
      <color theme="1"/>
      <name val="Times New Roman"/>
      <family val="1"/>
    </font>
    <font>
      <sz val="11"/>
      <color theme="1"/>
      <name val="Times New Roman"/>
      <family val="1"/>
    </font>
    <font>
      <b/>
      <i/>
      <sz val="14"/>
      <color theme="1"/>
      <name val="Times New Roman"/>
      <family val="1"/>
    </font>
    <font>
      <i/>
      <sz val="14"/>
      <color theme="1"/>
      <name val="Times New Roman"/>
      <family val="1"/>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33">
    <xf numFmtId="0" fontId="0" fillId="0" borderId="0" xfId="0"/>
    <xf numFmtId="0" fontId="0" fillId="0" borderId="0" xfId="0" applyAlignment="1">
      <alignment wrapText="1"/>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2" fillId="0" borderId="1" xfId="0" applyFont="1" applyBorder="1" applyAlignment="1">
      <alignment vertical="center" wrapText="1"/>
    </xf>
    <xf numFmtId="0" fontId="4" fillId="0" borderId="1" xfId="0" quotePrefix="1" applyFont="1" applyBorder="1" applyAlignment="1">
      <alignment vertical="center" wrapText="1"/>
    </xf>
    <xf numFmtId="0" fontId="5" fillId="0" borderId="1" xfId="0" applyFont="1"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2" fillId="0" borderId="1" xfId="0" applyFont="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5" fillId="0" borderId="1" xfId="0" applyFont="1" applyFill="1" applyBorder="1" applyAlignment="1">
      <alignment vertical="center" wrapText="1"/>
    </xf>
    <xf numFmtId="0" fontId="5" fillId="0" borderId="1" xfId="0" applyFont="1" applyBorder="1" applyAlignment="1">
      <alignment horizontal="center" vertical="center"/>
    </xf>
    <xf numFmtId="0" fontId="0" fillId="0" borderId="1" xfId="0" applyBorder="1" applyAlignment="1">
      <alignment vertical="center" wrapText="1"/>
    </xf>
    <xf numFmtId="0" fontId="5" fillId="0" borderId="1" xfId="0" applyFont="1" applyBorder="1" applyAlignment="1">
      <alignment wrapText="1"/>
    </xf>
    <xf numFmtId="0" fontId="7" fillId="0" borderId="0" xfId="0" applyFont="1" applyAlignment="1">
      <alignment wrapText="1"/>
    </xf>
    <xf numFmtId="0" fontId="6" fillId="0" borderId="0" xfId="0" applyFont="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5" fillId="0" borderId="1" xfId="0" quotePrefix="1" applyFont="1" applyBorder="1" applyAlignment="1">
      <alignment horizontal="center" vertical="center" wrapText="1"/>
    </xf>
    <xf numFmtId="0" fontId="7" fillId="0" borderId="0" xfId="0" applyFont="1" applyAlignment="1">
      <alignment horizontal="center" wrapText="1"/>
    </xf>
    <xf numFmtId="0" fontId="0" fillId="0" borderId="1" xfId="0" applyBorder="1" applyAlignment="1">
      <alignment horizontal="center" vertical="center" wrapText="1"/>
    </xf>
    <xf numFmtId="0" fontId="5" fillId="0" borderId="0" xfId="0" applyFont="1" applyAlignment="1">
      <alignment horizontal="center" vertical="center" wrapText="1"/>
    </xf>
    <xf numFmtId="0" fontId="3"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cellXfs>
  <cellStyles count="3">
    <cellStyle name="Normal" xfId="0" builtinId="0"/>
    <cellStyle name="Normal 2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zoomScale="70" zoomScaleNormal="85" workbookViewId="0">
      <selection activeCell="E16" sqref="E16"/>
    </sheetView>
  </sheetViews>
  <sheetFormatPr defaultColWidth="8.7109375" defaultRowHeight="15" x14ac:dyDescent="0.25"/>
  <cols>
    <col min="1" max="1" width="9.140625" style="20" customWidth="1"/>
    <col min="2" max="2" width="25.7109375" style="20" customWidth="1"/>
    <col min="3" max="3" width="25.7109375" style="20" hidden="1" customWidth="1"/>
    <col min="4" max="4" width="14.7109375" style="13" customWidth="1"/>
    <col min="5" max="5" width="22.5703125" style="13" customWidth="1"/>
    <col min="6" max="6" width="29" style="20" customWidth="1"/>
    <col min="7" max="7" width="17.85546875" style="20" hidden="1" customWidth="1"/>
    <col min="8" max="8" width="33.85546875" style="12" customWidth="1"/>
    <col min="9" max="9" width="22.5703125" style="26" customWidth="1"/>
    <col min="10" max="16384" width="8.7109375" style="20"/>
  </cols>
  <sheetData>
    <row r="1" spans="1:9" ht="18.75" x14ac:dyDescent="0.25">
      <c r="A1" s="29" t="s">
        <v>8</v>
      </c>
      <c r="B1" s="29"/>
      <c r="C1" s="29"/>
      <c r="D1" s="29"/>
      <c r="E1" s="29"/>
      <c r="F1" s="29"/>
      <c r="G1" s="29"/>
      <c r="H1" s="29"/>
      <c r="I1" s="29"/>
    </row>
    <row r="2" spans="1:9" s="21" customFormat="1" ht="37.5" x14ac:dyDescent="0.25">
      <c r="A2" s="3" t="s">
        <v>0</v>
      </c>
      <c r="B2" s="3" t="s">
        <v>5</v>
      </c>
      <c r="C2" s="3" t="s">
        <v>9</v>
      </c>
      <c r="D2" s="3" t="s">
        <v>1</v>
      </c>
      <c r="E2" s="3" t="s">
        <v>6</v>
      </c>
      <c r="F2" s="3" t="s">
        <v>7</v>
      </c>
      <c r="G2" s="3"/>
      <c r="H2" s="3" t="s">
        <v>2</v>
      </c>
      <c r="I2" s="3" t="s">
        <v>3</v>
      </c>
    </row>
    <row r="3" spans="1:9" ht="37.5" x14ac:dyDescent="0.25">
      <c r="A3" s="11">
        <v>1</v>
      </c>
      <c r="B3" s="6" t="s">
        <v>8</v>
      </c>
      <c r="C3" s="6" t="s">
        <v>8</v>
      </c>
      <c r="D3" s="11">
        <v>90</v>
      </c>
      <c r="E3" s="11"/>
      <c r="F3" s="6"/>
      <c r="G3" s="6"/>
      <c r="H3" s="4"/>
      <c r="I3" s="4" t="str" cm="1">
        <f t="array" ref="I3">toUnSignDiemCuoiCung(C3)</f>
        <v>[[diemcuoicung.Thecheso]]</v>
      </c>
    </row>
    <row r="4" spans="1:9" ht="93.75" x14ac:dyDescent="0.25">
      <c r="A4" s="4">
        <v>1.1000000000000001</v>
      </c>
      <c r="B4" s="5" t="s">
        <v>66</v>
      </c>
      <c r="C4" s="5" t="s">
        <v>66</v>
      </c>
      <c r="D4" s="4">
        <v>20</v>
      </c>
      <c r="E4" s="4" t="str" cm="1">
        <f t="array" ref="E4">toUnSign2(C4)</f>
        <v>[[ThanhlapBanchidaoChuyendoisocaphuyen]]</v>
      </c>
      <c r="F4" s="5" t="s">
        <v>71</v>
      </c>
      <c r="G4" s="4" t="s">
        <v>4</v>
      </c>
      <c r="H4" s="4" t="str" cm="1">
        <f t="array" ref="H4">G4&amp;CHAR(10)&amp;toUnSignArea(C4)&amp;CHAR(10)&amp;toUnSignUpload(C4)</f>
        <v>Văn bản, tài liệu chứng minh
[[area.ThanhlapBanchidaoChuyendoisocaphuyen]]
[[upload.ThanhlapBanchidaoChuyendoisocaphuyen]]</v>
      </c>
      <c r="I4" s="4" t="str" cm="1">
        <f t="array" ref="I4">toUnSignDiem(C4)</f>
        <v>[[diem.ThanhlapBanchidaoChuyendoisocaphuyen]]</v>
      </c>
    </row>
    <row r="5" spans="1:9" ht="93.75" x14ac:dyDescent="0.25">
      <c r="A5" s="4">
        <v>1.2</v>
      </c>
      <c r="B5" s="5" t="s">
        <v>67</v>
      </c>
      <c r="C5" s="5" t="s">
        <v>67</v>
      </c>
      <c r="D5" s="4">
        <v>20</v>
      </c>
      <c r="E5" s="4" t="str" cm="1">
        <f t="array" ref="E5">toUnSign2(C5)</f>
        <v>[[BanhanhNghiquyetcapuyvechuyendoiso]]</v>
      </c>
      <c r="F5" s="5" t="s">
        <v>71</v>
      </c>
      <c r="G5" s="4" t="s">
        <v>4</v>
      </c>
      <c r="H5" s="4" t="str" cm="1">
        <f t="array" ref="H5">G5&amp;CHAR(10)&amp;toUnSignArea(C5)&amp;CHAR(10)&amp;toUnSignUpload(C5)</f>
        <v>Văn bản, tài liệu chứng minh
[[area.BanhanhNghiquyetcapuyvechuyendoiso]]
[[upload.BanhanhNghiquyetcapuyvechuyendoiso]]</v>
      </c>
      <c r="I5" s="4" t="str" cm="1">
        <f t="array" ref="I5">toUnSignDiem(C5)</f>
        <v>[[diem.BanhanhNghiquyetcapuyvechuyendoiso]]</v>
      </c>
    </row>
    <row r="6" spans="1:9" ht="93.75" x14ac:dyDescent="0.25">
      <c r="A6" s="4">
        <v>1.3</v>
      </c>
      <c r="B6" s="5" t="s">
        <v>68</v>
      </c>
      <c r="C6" s="5" t="s">
        <v>68</v>
      </c>
      <c r="D6" s="4">
        <v>20</v>
      </c>
      <c r="E6" s="4" t="str" cm="1">
        <f t="array" ref="E6">toUnSign2(C6)</f>
        <v>[[BanhanhKehoachchuyendoisohangnam]]</v>
      </c>
      <c r="F6" s="5" t="s">
        <v>71</v>
      </c>
      <c r="G6" s="4" t="s">
        <v>4</v>
      </c>
      <c r="H6" s="4" t="str" cm="1">
        <f t="array" ref="H6">G6&amp;CHAR(10)&amp;toUnSignArea(C6)&amp;CHAR(10)&amp;toUnSignUpload(C6)</f>
        <v>Văn bản, tài liệu chứng minh
[[area.BanhanhKehoachchuyendoisohangnam]]
[[upload.BanhanhKehoachchuyendoisohangnam]]</v>
      </c>
      <c r="I6" s="4" t="str" cm="1">
        <f t="array" ref="I6">toUnSignDiem(C6)</f>
        <v>[[diem.BanhanhKehoachchuyendoisohangnam]]</v>
      </c>
    </row>
    <row r="7" spans="1:9" ht="112.5" x14ac:dyDescent="0.25">
      <c r="A7" s="4">
        <v>1.4</v>
      </c>
      <c r="B7" s="5" t="s">
        <v>69</v>
      </c>
      <c r="C7" s="5" t="s">
        <v>69</v>
      </c>
      <c r="D7" s="4">
        <v>30</v>
      </c>
      <c r="E7" s="4" t="str" cm="1">
        <f t="array" ref="E7">toUnSign2(C7)</f>
        <v>[[Banhanhvanbanchidaovechuyendoisotrongnam]]</v>
      </c>
      <c r="F7" s="5" t="s">
        <v>70</v>
      </c>
      <c r="G7" s="4"/>
      <c r="H7" s="4"/>
      <c r="I7" s="4" t="str" cm="1">
        <f t="array" ref="I7">toUnSignDiem(C7)</f>
        <v>[[diem.Banhanhvanbanchidaovechuyendoisotrongnam]]</v>
      </c>
    </row>
    <row r="8" spans="1:9" ht="93.75" x14ac:dyDescent="0.25">
      <c r="A8" s="15"/>
      <c r="B8" s="16" t="s">
        <v>73</v>
      </c>
      <c r="C8" s="16" t="s">
        <v>73</v>
      </c>
      <c r="D8" s="15"/>
      <c r="E8" s="4" t="str" cm="1">
        <f t="array" ref="E8">toUnSign2(C8)</f>
        <v>[[Sovanbanchidaovechuyendoiso]]</v>
      </c>
      <c r="F8" s="15"/>
      <c r="G8" s="4" t="s">
        <v>4</v>
      </c>
      <c r="H8" s="4" t="str" cm="1">
        <f t="array" ref="H8">G8&amp;CHAR(10)&amp;toUnSignArea(C8)&amp;CHAR(10)&amp;toUnSignUpload(C8)</f>
        <v>Văn bản, tài liệu chứng minh
[[area.Sovanbanchidaovechuyendoiso]]
[[upload.Sovanbanchidaovechuyendoiso]]</v>
      </c>
      <c r="I8" s="14"/>
    </row>
  </sheetData>
  <mergeCells count="1">
    <mergeCell ref="A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0"/>
  <sheetViews>
    <sheetView tabSelected="1" topLeftCell="A66" zoomScale="70" zoomScaleNormal="70" workbookViewId="0">
      <selection activeCell="B84" sqref="B84"/>
    </sheetView>
  </sheetViews>
  <sheetFormatPr defaultRowHeight="18.75" x14ac:dyDescent="0.25"/>
  <cols>
    <col min="2" max="2" width="45.28515625" customWidth="1"/>
    <col min="3" max="3" width="45.28515625" style="1" hidden="1" customWidth="1"/>
    <col min="4" max="4" width="15.7109375" style="9" customWidth="1"/>
    <col min="5" max="5" width="36.85546875" style="10" customWidth="1"/>
    <col min="6" max="6" width="36.5703125" customWidth="1"/>
    <col min="7" max="7" width="16" style="10" hidden="1" customWidth="1"/>
    <col min="8" max="8" width="39" style="2" customWidth="1"/>
    <col min="9" max="9" width="29.5703125" style="28" customWidth="1"/>
  </cols>
  <sheetData>
    <row r="1" spans="1:9" s="20" customFormat="1" x14ac:dyDescent="0.25">
      <c r="A1" s="29" t="s">
        <v>8</v>
      </c>
      <c r="B1" s="29"/>
      <c r="C1" s="29"/>
      <c r="D1" s="29"/>
      <c r="E1" s="29"/>
      <c r="F1" s="29"/>
      <c r="G1" s="29"/>
      <c r="H1" s="29"/>
      <c r="I1" s="29"/>
    </row>
    <row r="2" spans="1:9" s="21" customFormat="1" x14ac:dyDescent="0.25">
      <c r="A2" s="3" t="s">
        <v>0</v>
      </c>
      <c r="B2" s="3" t="s">
        <v>5</v>
      </c>
      <c r="C2" s="3" t="s">
        <v>9</v>
      </c>
      <c r="D2" s="3" t="s">
        <v>1</v>
      </c>
      <c r="E2" s="3" t="s">
        <v>6</v>
      </c>
      <c r="F2" s="3" t="s">
        <v>7</v>
      </c>
      <c r="G2" s="3"/>
      <c r="H2" s="3" t="s">
        <v>2</v>
      </c>
      <c r="I2" s="3" t="s">
        <v>3</v>
      </c>
    </row>
    <row r="3" spans="1:9" ht="37.5" x14ac:dyDescent="0.25">
      <c r="A3" s="11">
        <v>5</v>
      </c>
      <c r="B3" s="6" t="s">
        <v>12</v>
      </c>
      <c r="C3" s="6" t="s">
        <v>12</v>
      </c>
      <c r="D3" s="11">
        <v>540</v>
      </c>
      <c r="E3" s="11"/>
      <c r="F3" s="5"/>
      <c r="G3" s="18"/>
      <c r="H3" s="27"/>
      <c r="I3" s="4" t="str" cm="1">
        <f t="array" ref="I3">toUnSignDiemCuoiCung(C3)</f>
        <v>[[diemcuoicung.Hoatdongchinhquyenso]]</v>
      </c>
    </row>
    <row r="4" spans="1:9" ht="19.5" x14ac:dyDescent="0.25">
      <c r="A4" s="22"/>
      <c r="B4" s="6" t="s">
        <v>13</v>
      </c>
      <c r="C4" s="6" t="s">
        <v>13</v>
      </c>
      <c r="D4" s="22">
        <v>50</v>
      </c>
      <c r="E4" s="22"/>
      <c r="F4" s="7"/>
      <c r="G4" s="18"/>
      <c r="H4" s="27"/>
      <c r="I4" s="4"/>
    </row>
    <row r="5" spans="1:9" ht="75" x14ac:dyDescent="0.25">
      <c r="A5" s="4">
        <v>5.0999999999999996</v>
      </c>
      <c r="B5" s="5" t="s">
        <v>14</v>
      </c>
      <c r="C5" s="5" t="s">
        <v>105</v>
      </c>
      <c r="D5" s="17">
        <v>20</v>
      </c>
      <c r="E5" s="4" t="str" cm="1">
        <f t="array" ref="E5">toUnSignTyle(C5)</f>
        <v>[[tyle.Tylevanbandidenduocguinhandientutichhopkyso]]</v>
      </c>
      <c r="F5" s="5" t="s">
        <v>109</v>
      </c>
      <c r="G5" s="18"/>
      <c r="H5" s="27"/>
      <c r="I5" s="4" t="str" cm="1">
        <f t="array" ref="I5">toUnSignDiem(C5)</f>
        <v>[[diem.Tylevanbandidenduocguinhandientutichhopkyso]]</v>
      </c>
    </row>
    <row r="6" spans="1:9" ht="93.75" x14ac:dyDescent="0.25">
      <c r="A6" s="4" t="s">
        <v>10</v>
      </c>
      <c r="B6" s="5" t="s">
        <v>103</v>
      </c>
      <c r="C6" s="5" t="s">
        <v>106</v>
      </c>
      <c r="D6" s="17"/>
      <c r="E6" s="4" t="str" cm="1">
        <f t="array" ref="E6">toUnSign2(C6)</f>
        <v>[[Tongsovanbandi,denduocguinhandientutichhopkyso]]</v>
      </c>
      <c r="F6" s="5"/>
      <c r="G6" s="4" t="s">
        <v>4</v>
      </c>
      <c r="H6" s="4" t="str" cm="1">
        <f t="array" ref="H6">G6&amp;CHAR(10)&amp;toUnSignArea(C6)&amp;CHAR(10)&amp;toUnSignUpload(C6)</f>
        <v>Văn bản, tài liệu chứng minh
[[area.Tongsovanbandi,denduocguinhandientutichhopkyso]]
[[upload.Tongsovanbandi,denduocguinhandientutichhopkyso]]</v>
      </c>
      <c r="I6" s="4"/>
    </row>
    <row r="7" spans="1:9" ht="93.75" x14ac:dyDescent="0.25">
      <c r="A7" s="4" t="s">
        <v>11</v>
      </c>
      <c r="B7" s="5" t="s">
        <v>104</v>
      </c>
      <c r="C7" s="5" t="s">
        <v>104</v>
      </c>
      <c r="D7" s="17"/>
      <c r="E7" s="4" t="str" cm="1">
        <f t="array" ref="E7">toUnSign2(C7)</f>
        <v>[[TongsovanbandenvadicuaUBNDcaphuyen]]</v>
      </c>
      <c r="F7" s="5"/>
      <c r="G7" s="4" t="s">
        <v>4</v>
      </c>
      <c r="H7" s="4" t="str" cm="1">
        <f t="array" ref="H7">G7&amp;CHAR(10)&amp;toUnSignArea(C7)&amp;CHAR(10)&amp;toUnSignUpload(C7)</f>
        <v>Văn bản, tài liệu chứng minh
[[area.TongsovanbandenvadicuaUBNDcaphuyen]]
[[upload.TongsovanbandenvadicuaUBNDcaphuyen]]</v>
      </c>
      <c r="I7" s="4"/>
    </row>
    <row r="8" spans="1:9" ht="56.25" x14ac:dyDescent="0.25">
      <c r="A8" s="4">
        <v>5.2</v>
      </c>
      <c r="B8" s="5" t="s">
        <v>15</v>
      </c>
      <c r="C8" s="5" t="s">
        <v>15</v>
      </c>
      <c r="D8" s="17">
        <v>30</v>
      </c>
      <c r="E8" s="4" t="str" cm="1">
        <f t="array" ref="E8">toUnSignTyle(C8)</f>
        <v>[[tyle.Tylehosocongviecduocxulytrenmoitruongmang]]</v>
      </c>
      <c r="F8" s="5" t="s">
        <v>109</v>
      </c>
      <c r="G8" s="18"/>
      <c r="H8" s="27"/>
      <c r="I8" s="4" t="str" cm="1">
        <f t="array" ref="I8">toUnSignDiem(C8)</f>
        <v>[[diem.Tylehosocongviecduocxulytrenmoitruongmang]]</v>
      </c>
    </row>
    <row r="9" spans="1:9" ht="93.75" x14ac:dyDescent="0.25">
      <c r="A9" s="4" t="s">
        <v>10</v>
      </c>
      <c r="B9" s="5" t="s">
        <v>107</v>
      </c>
      <c r="C9" s="5" t="s">
        <v>107</v>
      </c>
      <c r="D9" s="17"/>
      <c r="E9" s="4" t="str" cm="1">
        <f t="array" ref="E9">toUnSign2(C9)</f>
        <v>[[Tongsohosocongviecduocxulytrenmoitruongmang]]</v>
      </c>
      <c r="F9" s="5"/>
      <c r="G9" s="4" t="s">
        <v>4</v>
      </c>
      <c r="H9" s="4" t="str" cm="1">
        <f t="array" ref="H9">G9&amp;CHAR(10)&amp;toUnSignArea(C9)&amp;CHAR(10)&amp;toUnSignUpload(C9)</f>
        <v>Văn bản, tài liệu chứng minh
[[area.Tongsohosocongviecduocxulytrenmoitruongmang]]
[[upload.Tongsohosocongviecduocxulytrenmoitruongmang]]</v>
      </c>
      <c r="I9" s="4"/>
    </row>
    <row r="10" spans="1:9" ht="56.25" x14ac:dyDescent="0.25">
      <c r="A10" s="4" t="s">
        <v>11</v>
      </c>
      <c r="B10" s="5" t="s">
        <v>108</v>
      </c>
      <c r="C10" s="5" t="s">
        <v>108</v>
      </c>
      <c r="D10" s="17"/>
      <c r="E10" s="4" t="str" cm="1">
        <f t="array" ref="E10">toUnSign2(C10)</f>
        <v>[[Tongsohoso]]</v>
      </c>
      <c r="F10" s="5"/>
      <c r="G10" s="4" t="s">
        <v>4</v>
      </c>
      <c r="H10" s="4" t="str" cm="1">
        <f t="array" ref="H10">G10&amp;CHAR(10)&amp;toUnSignArea(C10)&amp;CHAR(10)&amp;toUnSignUpload(C10)</f>
        <v>Văn bản, tài liệu chứng minh
[[area.Tongsohoso]]
[[upload.Tongsohoso]]</v>
      </c>
      <c r="I10" s="4"/>
    </row>
    <row r="11" spans="1:9" ht="19.5" x14ac:dyDescent="0.25">
      <c r="A11" s="22"/>
      <c r="B11" s="6" t="s">
        <v>16</v>
      </c>
      <c r="C11" s="6" t="s">
        <v>16</v>
      </c>
      <c r="D11" s="22">
        <v>170</v>
      </c>
      <c r="E11" s="22"/>
      <c r="F11" s="7"/>
      <c r="G11" s="18"/>
      <c r="H11" s="27"/>
      <c r="I11" s="4"/>
    </row>
    <row r="12" spans="1:9" ht="112.5" x14ac:dyDescent="0.25">
      <c r="A12" s="4">
        <v>5.3</v>
      </c>
      <c r="B12" s="5" t="s">
        <v>17</v>
      </c>
      <c r="C12" s="5" t="s">
        <v>110</v>
      </c>
      <c r="D12" s="4">
        <v>10</v>
      </c>
      <c r="E12" s="4" t="str" cm="1">
        <f t="array" ref="E12">toUnSign2(C12)</f>
        <v>[[CongkhaiTTHCtrenHethongthongtingiaiquyetTTHCcuatinh]]</v>
      </c>
      <c r="F12" s="5" t="s">
        <v>72</v>
      </c>
      <c r="G12" s="4" t="s">
        <v>4</v>
      </c>
      <c r="H12" s="4" t="str" cm="1">
        <f t="array" ref="H12">G12&amp;CHAR(10)&amp;toUnSignArea(C12)&amp;CHAR(10)&amp;toUnSignUpload(C12)</f>
        <v>Văn bản, tài liệu chứng minh
[[area.CongkhaiTTHCtrenHethongthongtingiaiquyetTTHCcuatinh]]
[[upload.CongkhaiTTHCtrenHethongthongtingiaiquyetTTHCcuatinh]]</v>
      </c>
      <c r="I12" s="4" t="str" cm="1">
        <f t="array" ref="I12">toUnSignDiem(C12)</f>
        <v>[[diem.CongkhaiTTHCtrenHethongthongtingiaiquyetTTHCcuatinh]]</v>
      </c>
    </row>
    <row r="13" spans="1:9" ht="37.5" x14ac:dyDescent="0.25">
      <c r="A13" s="4">
        <v>5.4</v>
      </c>
      <c r="B13" s="5" t="s">
        <v>18</v>
      </c>
      <c r="C13" s="5" t="s">
        <v>18</v>
      </c>
      <c r="D13" s="17">
        <v>20</v>
      </c>
      <c r="E13" s="4" t="str" cm="1">
        <f t="array" ref="E13">toUnSignTyle(C13)</f>
        <v>[[tyle.Tyledichvucongtructuyentoantrinh]]</v>
      </c>
      <c r="F13" s="5" t="s">
        <v>109</v>
      </c>
      <c r="G13" s="18"/>
      <c r="H13" s="27"/>
      <c r="I13" s="4" t="str" cm="1">
        <f t="array" ref="I13">toUnSignDiem(C13)</f>
        <v>[[diem.Tyledichvucongtructuyentoantrinh]]</v>
      </c>
    </row>
    <row r="14" spans="1:9" ht="93.75" x14ac:dyDescent="0.25">
      <c r="A14" s="4" t="s">
        <v>10</v>
      </c>
      <c r="B14" s="5" t="s">
        <v>111</v>
      </c>
      <c r="C14" s="5" t="s">
        <v>111</v>
      </c>
      <c r="D14" s="17"/>
      <c r="E14" s="4" t="str" cm="1">
        <f t="array" ref="E14">toUnSign2(C14)</f>
        <v>[[Tongsodichvucongtructuyentoantrinh]]</v>
      </c>
      <c r="F14" s="5"/>
      <c r="G14" s="4" t="s">
        <v>4</v>
      </c>
      <c r="H14" s="4" t="str" cm="1">
        <f t="array" ref="H14">G14&amp;CHAR(10)&amp;toUnSignArea(C14)&amp;CHAR(10)&amp;toUnSignUpload(C14)</f>
        <v>Văn bản, tài liệu chứng minh
[[area.Tongsodichvucongtructuyentoantrinh]]
[[upload.Tongsodichvucongtructuyentoantrinh]]</v>
      </c>
      <c r="I14" s="4"/>
    </row>
    <row r="15" spans="1:9" ht="75" x14ac:dyDescent="0.25">
      <c r="A15" s="4" t="s">
        <v>11</v>
      </c>
      <c r="B15" s="5" t="s">
        <v>112</v>
      </c>
      <c r="C15" s="5" t="s">
        <v>112</v>
      </c>
      <c r="D15" s="17"/>
      <c r="E15" s="4" t="str" cm="1">
        <f t="array" ref="E15">toUnSign2(C15)</f>
        <v>[[TongsoDVCTTcaphuyen]]</v>
      </c>
      <c r="F15" s="5"/>
      <c r="G15" s="4" t="s">
        <v>4</v>
      </c>
      <c r="H15" s="4" t="str" cm="1">
        <f t="array" ref="H15">G15&amp;CHAR(10)&amp;toUnSignArea(C15)&amp;CHAR(10)&amp;toUnSignUpload(C15)</f>
        <v>Văn bản, tài liệu chứng minh
[[area.TongsoDVCTTcaphuyen]]
[[upload.TongsoDVCTTcaphuyen]]</v>
      </c>
      <c r="I15" s="4"/>
    </row>
    <row r="16" spans="1:9" ht="37.5" x14ac:dyDescent="0.25">
      <c r="A16" s="4">
        <v>5.5</v>
      </c>
      <c r="B16" s="5" t="s">
        <v>19</v>
      </c>
      <c r="C16" s="5" t="s">
        <v>19</v>
      </c>
      <c r="D16" s="17">
        <v>20</v>
      </c>
      <c r="E16" s="4" t="str" cm="1">
        <f t="array" ref="E16">toUnSignTyle(C16)</f>
        <v>[[tyle.Tylehosotructuyentoantrinh]]</v>
      </c>
      <c r="F16" s="5" t="s">
        <v>109</v>
      </c>
      <c r="G16" s="18"/>
      <c r="H16" s="27"/>
      <c r="I16" s="4" t="str" cm="1">
        <f t="array" ref="I16">toUnSignDiem(C16)</f>
        <v>[[diem.Tylehosotructuyentoantrinh]]</v>
      </c>
    </row>
    <row r="17" spans="1:9" ht="93.75" x14ac:dyDescent="0.25">
      <c r="A17" s="4" t="s">
        <v>10</v>
      </c>
      <c r="B17" s="5" t="s">
        <v>113</v>
      </c>
      <c r="C17" s="5" t="s">
        <v>113</v>
      </c>
      <c r="D17" s="17"/>
      <c r="E17" s="4" t="str" cm="1">
        <f t="array" ref="E17">toUnSign2(C17)</f>
        <v>[[Tongsohosotructuyentoantrinh]]</v>
      </c>
      <c r="F17" s="5"/>
      <c r="G17" s="4" t="s">
        <v>4</v>
      </c>
      <c r="H17" s="4" t="str" cm="1">
        <f t="array" ref="H17">G17&amp;CHAR(10)&amp;toUnSignArea(C17)&amp;CHAR(10)&amp;toUnSignUpload(C17)</f>
        <v>Văn bản, tài liệu chứng minh
[[area.Tongsohosotructuyentoantrinh]]
[[upload.Tongsohosotructuyentoantrinh]]</v>
      </c>
      <c r="I17" s="4"/>
    </row>
    <row r="18" spans="1:9" x14ac:dyDescent="0.25">
      <c r="A18" s="4" t="s">
        <v>11</v>
      </c>
      <c r="B18" s="5" t="s">
        <v>108</v>
      </c>
      <c r="C18" s="30" t="s">
        <v>116</v>
      </c>
      <c r="D18" s="31"/>
      <c r="E18" s="31"/>
      <c r="F18" s="31"/>
      <c r="G18" s="31"/>
      <c r="H18" s="31"/>
      <c r="I18" s="32"/>
    </row>
    <row r="19" spans="1:9" ht="56.25" x14ac:dyDescent="0.25">
      <c r="A19" s="4">
        <v>5.6</v>
      </c>
      <c r="B19" s="5" t="s">
        <v>20</v>
      </c>
      <c r="C19" s="5" t="s">
        <v>20</v>
      </c>
      <c r="D19" s="17">
        <v>10</v>
      </c>
      <c r="E19" s="4" t="str" cm="1">
        <f t="array" ref="E19">toUnSignTyle(C19)</f>
        <v>[[tyle.Tyledichvucongtructuyentoantrinhphatsinhhoso]]</v>
      </c>
      <c r="F19" s="5" t="s">
        <v>109</v>
      </c>
      <c r="G19" s="18"/>
      <c r="H19" s="27"/>
      <c r="I19" s="4" t="str" cm="1">
        <f t="array" ref="I19">toUnSignDiem(C19)</f>
        <v>[[diem.Tyledichvucongtructuyentoantrinhphatsinhhoso]]</v>
      </c>
    </row>
    <row r="20" spans="1:9" ht="93.75" x14ac:dyDescent="0.25">
      <c r="A20" s="4" t="s">
        <v>10</v>
      </c>
      <c r="B20" s="5" t="s">
        <v>114</v>
      </c>
      <c r="C20" s="5" t="s">
        <v>114</v>
      </c>
      <c r="D20" s="17"/>
      <c r="E20" s="4" t="str" cm="1">
        <f t="array" ref="E20">toUnSign2(C20)</f>
        <v>[[Tongsodichvucongtructuyentoantrinhphatsinhhoso]]</v>
      </c>
      <c r="F20" s="5"/>
      <c r="G20" s="4" t="s">
        <v>4</v>
      </c>
      <c r="H20" s="4" t="str" cm="1">
        <f t="array" ref="H20">G20&amp;CHAR(10)&amp;toUnSignArea(C20)&amp;CHAR(10)&amp;toUnSignUpload(C20)</f>
        <v>Văn bản, tài liệu chứng minh
[[area.Tongsodichvucongtructuyentoantrinhphatsinhhoso]]
[[upload.Tongsodichvucongtructuyentoantrinhphatsinhhoso]]</v>
      </c>
      <c r="I20" s="4"/>
    </row>
    <row r="21" spans="1:9" x14ac:dyDescent="0.25">
      <c r="A21" s="4" t="s">
        <v>11</v>
      </c>
      <c r="B21" s="5" t="s">
        <v>108</v>
      </c>
      <c r="C21" s="30" t="s">
        <v>116</v>
      </c>
      <c r="D21" s="31"/>
      <c r="E21" s="31"/>
      <c r="F21" s="31"/>
      <c r="G21" s="31"/>
      <c r="H21" s="31"/>
      <c r="I21" s="32"/>
    </row>
    <row r="22" spans="1:9" ht="37.5" x14ac:dyDescent="0.25">
      <c r="A22" s="4">
        <v>5.7</v>
      </c>
      <c r="B22" s="5" t="s">
        <v>21</v>
      </c>
      <c r="C22" s="5" t="s">
        <v>91</v>
      </c>
      <c r="D22" s="17">
        <v>10</v>
      </c>
      <c r="E22" s="4" t="str" cm="1">
        <f t="array" ref="E22">toUnSignTyle(C22)</f>
        <v>[[tyle.Tylehosotructuyenlienthonghuyenxa]]</v>
      </c>
      <c r="F22" s="5" t="s">
        <v>109</v>
      </c>
      <c r="G22" s="18"/>
      <c r="H22" s="27"/>
      <c r="I22" s="4" t="str" cm="1">
        <f t="array" ref="I22">toUnSignDiem(C22)</f>
        <v>[[diem.Tylehosotructuyenlienthonghuyenxa]]</v>
      </c>
    </row>
    <row r="23" spans="1:9" ht="93.75" x14ac:dyDescent="0.25">
      <c r="A23" s="4" t="s">
        <v>10</v>
      </c>
      <c r="B23" s="5" t="s">
        <v>115</v>
      </c>
      <c r="C23" s="5" t="s">
        <v>117</v>
      </c>
      <c r="D23" s="17"/>
      <c r="E23" s="4" t="str" cm="1">
        <f t="array" ref="E23">toUnSign2(C23)</f>
        <v>[[Tongsohosotructuyenlienthonghuyenxa]]</v>
      </c>
      <c r="F23" s="5"/>
      <c r="G23" s="4" t="s">
        <v>4</v>
      </c>
      <c r="H23" s="4" t="str" cm="1">
        <f t="array" ref="H23">G23&amp;CHAR(10)&amp;toUnSignArea(C23)&amp;CHAR(10)&amp;toUnSignUpload(C23)</f>
        <v>Văn bản, tài liệu chứng minh
[[area.Tongsohosotructuyenlienthonghuyenxa]]
[[upload.Tongsohosotructuyenlienthonghuyenxa]]</v>
      </c>
      <c r="I23" s="4"/>
    </row>
    <row r="24" spans="1:9" x14ac:dyDescent="0.25">
      <c r="A24" s="4" t="s">
        <v>11</v>
      </c>
      <c r="B24" s="5" t="s">
        <v>108</v>
      </c>
      <c r="C24" s="30" t="s">
        <v>116</v>
      </c>
      <c r="D24" s="31"/>
      <c r="E24" s="31"/>
      <c r="F24" s="31"/>
      <c r="G24" s="31"/>
      <c r="H24" s="31"/>
      <c r="I24" s="32"/>
    </row>
    <row r="25" spans="1:9" ht="75" x14ac:dyDescent="0.25">
      <c r="A25" s="4">
        <v>5.8</v>
      </c>
      <c r="B25" s="5" t="s">
        <v>22</v>
      </c>
      <c r="C25" s="5" t="s">
        <v>92</v>
      </c>
      <c r="D25" s="17">
        <v>30</v>
      </c>
      <c r="E25" s="4" t="str" cm="1">
        <f t="array" ref="E25">toUnSignTyle(C25)</f>
        <v>[[tyle.TylehosoduoccapnhatdayduquytrinhthanhphanhosotrenhethongCongdichvucongcuatinh]]</v>
      </c>
      <c r="F25" s="5" t="s">
        <v>109</v>
      </c>
      <c r="G25" s="18"/>
      <c r="H25" s="27"/>
      <c r="I25" s="4" t="str" cm="1">
        <f t="array" ref="I25">toUnSignDiem(C25)</f>
        <v>[[diem.TylehosoduoccapnhatdayduquytrinhthanhphanhosotrenhethongCongdichvucongcuatinh]]</v>
      </c>
    </row>
    <row r="26" spans="1:9" ht="131.25" x14ac:dyDescent="0.25">
      <c r="A26" s="4" t="s">
        <v>10</v>
      </c>
      <c r="B26" s="5" t="s">
        <v>118</v>
      </c>
      <c r="C26" s="5" t="s">
        <v>119</v>
      </c>
      <c r="D26" s="17"/>
      <c r="E26" s="4" t="str" cm="1">
        <f t="array" ref="E26">toUnSign2(C26)</f>
        <v>[[TongsohosoduoccapnhatdayduquytrinhthanhphanhosotrenhethongCongdichvucongcuatinh]]</v>
      </c>
      <c r="F26" s="5"/>
      <c r="G26" s="4" t="s">
        <v>4</v>
      </c>
      <c r="H26" s="4" t="str" cm="1">
        <f t="array" ref="H26">G26&amp;CHAR(10)&amp;toUnSignArea(C26)&amp;CHAR(10)&amp;toUnSignUpload(C26)</f>
        <v>Văn bản, tài liệu chứng minh
[[area.TongsohosoduoccapnhatdayduquytrinhthanhphanhosotrenhethongCongdichvucongcuatinh]]
[[upload.TongsohosoduoccapnhatdayduquytrinhthanhphanhosotrenhethongCongdichvucongcuatinh]]</v>
      </c>
      <c r="I26" s="4"/>
    </row>
    <row r="27" spans="1:9" x14ac:dyDescent="0.25">
      <c r="A27" s="4" t="s">
        <v>11</v>
      </c>
      <c r="B27" s="5" t="s">
        <v>108</v>
      </c>
      <c r="C27" s="30" t="s">
        <v>116</v>
      </c>
      <c r="D27" s="31"/>
      <c r="E27" s="31"/>
      <c r="F27" s="31"/>
      <c r="G27" s="31"/>
      <c r="H27" s="31"/>
      <c r="I27" s="32"/>
    </row>
    <row r="28" spans="1:9" ht="93.75" x14ac:dyDescent="0.25">
      <c r="A28" s="4">
        <v>5.9</v>
      </c>
      <c r="B28" s="5" t="s">
        <v>23</v>
      </c>
      <c r="C28" s="5" t="s">
        <v>120</v>
      </c>
      <c r="D28" s="4">
        <v>10</v>
      </c>
      <c r="E28" s="4" t="str" cm="1">
        <f t="array" ref="E28">toUnSign2(C28)</f>
        <v>[[Tylehosoduoctiepnhanquadichvubuuchinh]]</v>
      </c>
      <c r="F28" s="5" t="s">
        <v>74</v>
      </c>
      <c r="G28" s="4" t="s">
        <v>4</v>
      </c>
      <c r="H28" s="4" t="str" cm="1">
        <f t="array" ref="H28">G28&amp;CHAR(10)&amp;toUnSignArea(C28)&amp;CHAR(10)&amp;toUnSignUpload(C28)</f>
        <v>Văn bản, tài liệu chứng minh
[[area.Tylehosoduoctiepnhanquadichvubuuchinh]]
[[upload.Tylehosoduoctiepnhanquadichvubuuchinh]]</v>
      </c>
      <c r="I28" s="4" t="str" cm="1">
        <f t="array" ref="I28">toUnSignDiem(C28)</f>
        <v>[[diem.Tylehosoduoctiepnhanquadichvubuuchinh]]</v>
      </c>
    </row>
    <row r="29" spans="1:9" ht="93.75" x14ac:dyDescent="0.25">
      <c r="A29" s="25" t="s">
        <v>101</v>
      </c>
      <c r="B29" s="5" t="s">
        <v>24</v>
      </c>
      <c r="C29" s="5" t="s">
        <v>121</v>
      </c>
      <c r="D29" s="4">
        <v>10</v>
      </c>
      <c r="E29" s="4" t="str" cm="1">
        <f t="array" ref="E29">toUnSign2(C29)</f>
        <v>[[Tylehosoduoctraketquaquadichvubuuchinh]]</v>
      </c>
      <c r="F29" s="5" t="s">
        <v>75</v>
      </c>
      <c r="G29" s="4" t="s">
        <v>4</v>
      </c>
      <c r="H29" s="4" t="str" cm="1">
        <f t="array" ref="H29">G29&amp;CHAR(10)&amp;toUnSignArea(C29)&amp;CHAR(10)&amp;toUnSignUpload(C29)</f>
        <v>Văn bản, tài liệu chứng minh
[[area.Tylehosoduoctraketquaquadichvubuuchinh]]
[[upload.Tylehosoduoctraketquaquadichvubuuchinh]]</v>
      </c>
      <c r="I29" s="4" t="str" cm="1">
        <f t="array" ref="I29">toUnSignDiem(C29)</f>
        <v>[[diem.Tylehosoduoctraketquaquadichvubuuchinh]]</v>
      </c>
    </row>
    <row r="30" spans="1:9" ht="56.25" x14ac:dyDescent="0.25">
      <c r="A30" s="4">
        <v>5.1100000000000003</v>
      </c>
      <c r="B30" s="5" t="s">
        <v>25</v>
      </c>
      <c r="C30" s="5" t="s">
        <v>25</v>
      </c>
      <c r="D30" s="17">
        <v>10</v>
      </c>
      <c r="E30" s="4" t="str" cm="1">
        <f t="array" ref="E30">toUnSignTyle(C30)</f>
        <v>[[tyle.Tyledichvucongtrienkhaithanhtoantructuyenphilephi]]</v>
      </c>
      <c r="F30" s="5" t="s">
        <v>109</v>
      </c>
      <c r="G30" s="18"/>
      <c r="H30" s="27"/>
      <c r="I30" s="4" t="str" cm="1">
        <f t="array" ref="I30">toUnSignDiem(C30)</f>
        <v>[[diem.Tyledichvucongtrienkhaithanhtoantructuyenphilephi]]</v>
      </c>
    </row>
    <row r="31" spans="1:9" ht="93.75" x14ac:dyDescent="0.25">
      <c r="A31" s="4" t="s">
        <v>10</v>
      </c>
      <c r="B31" s="5" t="s">
        <v>122</v>
      </c>
      <c r="C31" s="5" t="s">
        <v>122</v>
      </c>
      <c r="D31" s="17"/>
      <c r="E31" s="4" t="str" cm="1">
        <f t="array" ref="E31">toUnSign2(C31)</f>
        <v>[[Tongsodichvucongtrienkhaithanhtoantructuyenphilephi]]</v>
      </c>
      <c r="F31" s="5"/>
      <c r="G31" s="4" t="s">
        <v>4</v>
      </c>
      <c r="H31" s="4" t="str" cm="1">
        <f t="array" ref="H31">G31&amp;CHAR(10)&amp;toUnSignArea(C31)&amp;CHAR(10)&amp;toUnSignUpload(C31)</f>
        <v>Văn bản, tài liệu chứng minh
[[area.Tongsodichvucongtrienkhaithanhtoantructuyenphilephi]]
[[upload.Tongsodichvucongtrienkhaithanhtoantructuyenphilephi]]</v>
      </c>
      <c r="I31" s="4"/>
    </row>
    <row r="32" spans="1:9" x14ac:dyDescent="0.25">
      <c r="A32" s="4" t="s">
        <v>11</v>
      </c>
      <c r="B32" s="5" t="s">
        <v>112</v>
      </c>
      <c r="C32" s="30" t="s">
        <v>123</v>
      </c>
      <c r="D32" s="31"/>
      <c r="E32" s="31"/>
      <c r="F32" s="31"/>
      <c r="G32" s="31"/>
      <c r="H32" s="31"/>
      <c r="I32" s="32"/>
    </row>
    <row r="33" spans="1:9" ht="37.5" x14ac:dyDescent="0.25">
      <c r="A33" s="4">
        <v>5.12</v>
      </c>
      <c r="B33" s="5" t="s">
        <v>26</v>
      </c>
      <c r="C33" s="5" t="s">
        <v>26</v>
      </c>
      <c r="D33" s="17">
        <v>10</v>
      </c>
      <c r="E33" s="4" t="str" cm="1">
        <f t="array" ref="E33">toUnSignTyle(C33)</f>
        <v>[[tyle.Tylehosothanhtoantructuyenphilephi]]</v>
      </c>
      <c r="F33" s="5" t="s">
        <v>109</v>
      </c>
      <c r="G33" s="18"/>
      <c r="H33" s="27"/>
      <c r="I33" s="4" t="str" cm="1">
        <f t="array" ref="I33">toUnSignDiem(C33)</f>
        <v>[[diem.Tylehosothanhtoantructuyenphilephi]]</v>
      </c>
    </row>
    <row r="34" spans="1:9" ht="93.75" x14ac:dyDescent="0.25">
      <c r="A34" s="4" t="s">
        <v>10</v>
      </c>
      <c r="B34" s="5" t="s">
        <v>124</v>
      </c>
      <c r="C34" s="5" t="s">
        <v>124</v>
      </c>
      <c r="D34" s="17"/>
      <c r="E34" s="4" t="str" cm="1">
        <f t="array" ref="E34">toUnSign2(C34)</f>
        <v>[[Tongsohosothanhtoantructuyenphilephi]]</v>
      </c>
      <c r="F34" s="5"/>
      <c r="G34" s="4" t="s">
        <v>4</v>
      </c>
      <c r="H34" s="4" t="str" cm="1">
        <f t="array" ref="H34">G34&amp;CHAR(10)&amp;toUnSignArea(C34)&amp;CHAR(10)&amp;toUnSignUpload(C34)</f>
        <v>Văn bản, tài liệu chứng minh
[[area.Tongsohosothanhtoantructuyenphilephi]]
[[upload.Tongsohosothanhtoantructuyenphilephi]]</v>
      </c>
      <c r="I34" s="4"/>
    </row>
    <row r="35" spans="1:9" x14ac:dyDescent="0.25">
      <c r="A35" s="4" t="s">
        <v>11</v>
      </c>
      <c r="B35" s="5" t="s">
        <v>108</v>
      </c>
      <c r="C35" s="30" t="s">
        <v>116</v>
      </c>
      <c r="D35" s="31"/>
      <c r="E35" s="31"/>
      <c r="F35" s="31"/>
      <c r="G35" s="31"/>
      <c r="H35" s="31"/>
      <c r="I35" s="32"/>
    </row>
    <row r="36" spans="1:9" ht="37.5" x14ac:dyDescent="0.25">
      <c r="A36" s="4">
        <v>5.13</v>
      </c>
      <c r="B36" s="5" t="s">
        <v>27</v>
      </c>
      <c r="C36" s="5" t="s">
        <v>93</v>
      </c>
      <c r="D36" s="4">
        <v>20</v>
      </c>
      <c r="E36" s="4" t="str" cm="1">
        <f t="array" ref="E36">toUnSignTyle(C36)</f>
        <v>[[tyle.TylesohoahosoketquagiaiquyetTTHC]]</v>
      </c>
      <c r="F36" s="5" t="s">
        <v>109</v>
      </c>
      <c r="G36" s="18"/>
      <c r="H36" s="27"/>
      <c r="I36" s="4" t="str" cm="1">
        <f t="array" ref="I36">toUnSignDiem(C36)</f>
        <v>[[diem.TylesohoahosoketquagiaiquyetTTHC]]</v>
      </c>
    </row>
    <row r="37" spans="1:9" ht="93.75" x14ac:dyDescent="0.25">
      <c r="A37" s="4" t="s">
        <v>10</v>
      </c>
      <c r="B37" s="5" t="s">
        <v>125</v>
      </c>
      <c r="C37" s="5" t="s">
        <v>126</v>
      </c>
      <c r="D37" s="4"/>
      <c r="E37" s="4" t="str" cm="1">
        <f t="array" ref="E37">toUnSign2(C37)</f>
        <v>[[TongsosohoahosoketquagiaiquyetTTHC]]</v>
      </c>
      <c r="F37" s="5"/>
      <c r="G37" s="4" t="s">
        <v>4</v>
      </c>
      <c r="H37" s="4" t="str" cm="1">
        <f t="array" ref="H37">G37&amp;CHAR(10)&amp;toUnSignArea(C37)&amp;CHAR(10)&amp;toUnSignUpload(C37)</f>
        <v>Văn bản, tài liệu chứng minh
[[area.TongsosohoahosoketquagiaiquyetTTHC]]
[[upload.TongsosohoahosoketquagiaiquyetTTHC]]</v>
      </c>
      <c r="I37" s="4"/>
    </row>
    <row r="38" spans="1:9" x14ac:dyDescent="0.25">
      <c r="A38" s="4" t="s">
        <v>11</v>
      </c>
      <c r="B38" s="5" t="s">
        <v>108</v>
      </c>
      <c r="C38" s="30" t="s">
        <v>116</v>
      </c>
      <c r="D38" s="31"/>
      <c r="E38" s="31"/>
      <c r="F38" s="31"/>
      <c r="G38" s="31"/>
      <c r="H38" s="31"/>
      <c r="I38" s="32"/>
    </row>
    <row r="39" spans="1:9" ht="56.25" x14ac:dyDescent="0.25">
      <c r="A39" s="4">
        <v>5.14</v>
      </c>
      <c r="B39" s="5" t="s">
        <v>28</v>
      </c>
      <c r="C39" s="5" t="s">
        <v>28</v>
      </c>
      <c r="D39" s="4">
        <v>10</v>
      </c>
      <c r="E39" s="4" t="str" cm="1">
        <f t="array" ref="E39">toUnSignTyle(C39)</f>
        <v>[[tyle.TylenguoidanvadoanhnghiephailongveketquagiaiquyetTTHC]]</v>
      </c>
      <c r="F39" s="5" t="s">
        <v>109</v>
      </c>
      <c r="G39" s="18"/>
      <c r="H39" s="27"/>
      <c r="I39" s="4" t="str" cm="1">
        <f t="array" ref="I39">toUnSignDiem(C39)</f>
        <v>[[diem.TylenguoidanvadoanhnghiephailongveketquagiaiquyetTTHC]]</v>
      </c>
    </row>
    <row r="40" spans="1:9" ht="131.25" x14ac:dyDescent="0.25">
      <c r="A40" s="4" t="s">
        <v>10</v>
      </c>
      <c r="B40" s="5" t="s">
        <v>127</v>
      </c>
      <c r="C40" s="5" t="s">
        <v>127</v>
      </c>
      <c r="D40" s="4"/>
      <c r="E40" s="4" t="str" cm="1">
        <f t="array" ref="E40">toUnSign2(C40)</f>
        <v>[[SoluongnguoidanvadoanhnghiepdanhgiahailongveketquagiaiquyetTTHC]]</v>
      </c>
      <c r="F40" s="5"/>
      <c r="G40" s="4" t="s">
        <v>4</v>
      </c>
      <c r="H40" s="4" t="str" cm="1">
        <f t="array" ref="H40">G40&amp;CHAR(10)&amp;toUnSignArea(C40)&amp;CHAR(10)&amp;toUnSignUpload(C40)</f>
        <v>Văn bản, tài liệu chứng minh
[[area.SoluongnguoidanvadoanhnghiepdanhgiahailongveketquagiaiquyetTTHC]]
[[upload.SoluongnguoidanvadoanhnghiepdanhgiahailongveketquagiaiquyetTTHC]]</v>
      </c>
      <c r="I40" s="4"/>
    </row>
    <row r="41" spans="1:9" ht="131.25" x14ac:dyDescent="0.25">
      <c r="A41" s="4" t="s">
        <v>11</v>
      </c>
      <c r="B41" s="5" t="s">
        <v>128</v>
      </c>
      <c r="C41" s="5" t="s">
        <v>128</v>
      </c>
      <c r="D41" s="4"/>
      <c r="E41" s="4" t="str" cm="1">
        <f t="array" ref="E41">toUnSign2(C41)</f>
        <v>[[TongsonguoidanvadoanhnghiepthamgiadanhgiamucdohailongveketquagiaiquyetTTHC]]</v>
      </c>
      <c r="F41" s="5"/>
      <c r="G41" s="4" t="s">
        <v>4</v>
      </c>
      <c r="H41" s="4" t="str" cm="1">
        <f t="array" ref="H41">G41&amp;CHAR(10)&amp;toUnSignArea(C41)&amp;CHAR(10)&amp;toUnSignUpload(C41)</f>
        <v>Văn bản, tài liệu chứng minh
[[area.TongsonguoidanvadoanhnghiepthamgiadanhgiamucdohailongveketquagiaiquyetTTHC]]
[[upload.TongsonguoidanvadoanhnghiepthamgiadanhgiamucdohailongveketquagiaiquyetTTHC]]</v>
      </c>
      <c r="I41" s="4"/>
    </row>
    <row r="42" spans="1:9" ht="19.5" x14ac:dyDescent="0.25">
      <c r="A42" s="4"/>
      <c r="B42" s="6" t="s">
        <v>29</v>
      </c>
      <c r="C42" s="6" t="s">
        <v>86</v>
      </c>
      <c r="D42" s="22">
        <v>90</v>
      </c>
      <c r="E42" s="22"/>
      <c r="F42" s="7"/>
      <c r="G42" s="18"/>
      <c r="H42" s="27"/>
      <c r="I42" s="4"/>
    </row>
    <row r="43" spans="1:9" ht="93.75" x14ac:dyDescent="0.25">
      <c r="A43" s="4">
        <v>5.15</v>
      </c>
      <c r="B43" s="5" t="s">
        <v>30</v>
      </c>
      <c r="C43" s="5" t="s">
        <v>94</v>
      </c>
      <c r="D43" s="4"/>
      <c r="E43" s="4"/>
      <c r="F43" s="7" t="s">
        <v>129</v>
      </c>
      <c r="G43" s="4"/>
      <c r="H43" s="27"/>
      <c r="I43" s="4" t="str" cm="1">
        <f t="array" ref="I43">toUnSignDiemTongThe(C43)</f>
        <v>[[diemtongthe.CongtrangthongtindientucungcapcacthongtincobantheoquydinhNghidinh422022NDCPbaogom]]</v>
      </c>
    </row>
    <row r="44" spans="1:9" ht="93.75" x14ac:dyDescent="0.25">
      <c r="A44" s="23" t="s">
        <v>31</v>
      </c>
      <c r="B44" s="24" t="s">
        <v>32</v>
      </c>
      <c r="C44" s="24" t="s">
        <v>32</v>
      </c>
      <c r="D44" s="4">
        <v>5</v>
      </c>
      <c r="E44" s="4" t="str" cm="1">
        <f t="array" ref="E44">toUnSign2(C44)</f>
        <v>[[Vanbanquyphamphapluatvavanbanquanlyhanhchinh]]</v>
      </c>
      <c r="F44" s="5" t="s">
        <v>71</v>
      </c>
      <c r="G44" s="4" t="s">
        <v>4</v>
      </c>
      <c r="H44" s="4" t="str" cm="1">
        <f t="array" ref="H44">G44&amp;CHAR(10)&amp;toUnSignArea(C44)&amp;CHAR(10)&amp;toUnSignUpload(C44)</f>
        <v>Văn bản, tài liệu chứng minh
[[area.Vanbanquyphamphapluatvavanbanquanlyhanhchinh]]
[[upload.Vanbanquyphamphapluatvavanbanquanlyhanhchinh]]</v>
      </c>
      <c r="I44" s="4" t="str" cm="1">
        <f t="array" ref="I44">toUnSignDiem(C44)</f>
        <v>[[diem.Vanbanquyphamphapluatvavanbanquanlyhanhchinh]]</v>
      </c>
    </row>
    <row r="45" spans="1:9" ht="93.75" x14ac:dyDescent="0.25">
      <c r="A45" s="23" t="s">
        <v>33</v>
      </c>
      <c r="B45" s="24" t="s">
        <v>34</v>
      </c>
      <c r="C45" s="24" t="s">
        <v>130</v>
      </c>
      <c r="D45" s="4">
        <v>5</v>
      </c>
      <c r="E45" s="4" t="str" cm="1">
        <f t="array" ref="E45">toUnSign2(C45)</f>
        <v>[[Thutuchanhchinhdichvucongtructuyen]]</v>
      </c>
      <c r="F45" s="5" t="s">
        <v>71</v>
      </c>
      <c r="G45" s="4" t="s">
        <v>4</v>
      </c>
      <c r="H45" s="4" t="str" cm="1">
        <f t="array" ref="H45">G45&amp;CHAR(10)&amp;toUnSignArea(C45)&amp;CHAR(10)&amp;toUnSignUpload(C45)</f>
        <v>Văn bản, tài liệu chứng minh
[[area.Thutuchanhchinhdichvucongtructuyen]]
[[upload.Thutuchanhchinhdichvucongtructuyen]]</v>
      </c>
      <c r="I45" s="4" t="str" cm="1">
        <f t="array" ref="I45">toUnSignDiem(C45)</f>
        <v>[[diem.Thutuchanhchinhdichvucongtructuyen]]</v>
      </c>
    </row>
    <row r="46" spans="1:9" ht="93.75" x14ac:dyDescent="0.25">
      <c r="A46" s="23" t="s">
        <v>35</v>
      </c>
      <c r="B46" s="24" t="s">
        <v>36</v>
      </c>
      <c r="C46" s="24" t="s">
        <v>131</v>
      </c>
      <c r="D46" s="4">
        <v>5</v>
      </c>
      <c r="E46" s="4" t="str" cm="1">
        <f t="array" ref="E46">toUnSign2(C46)</f>
        <v>[[Thongtinphobienhuongdanthuchien]]</v>
      </c>
      <c r="F46" s="5" t="s">
        <v>71</v>
      </c>
      <c r="G46" s="4" t="s">
        <v>4</v>
      </c>
      <c r="H46" s="4" t="str" cm="1">
        <f t="array" ref="H46">G46&amp;CHAR(10)&amp;toUnSignArea(C46)&amp;CHAR(10)&amp;toUnSignUpload(C46)</f>
        <v>Văn bản, tài liệu chứng minh
[[area.Thongtinphobienhuongdanthuchien]]
[[upload.Thongtinphobienhuongdanthuchien]]</v>
      </c>
      <c r="I46" s="4" t="str" cm="1">
        <f t="array" ref="I46">toUnSignDiem(C46)</f>
        <v>[[diem.Thongtinphobienhuongdanthuchien]]</v>
      </c>
    </row>
    <row r="47" spans="1:9" ht="93.75" x14ac:dyDescent="0.25">
      <c r="A47" s="23" t="s">
        <v>37</v>
      </c>
      <c r="B47" s="24" t="s">
        <v>38</v>
      </c>
      <c r="C47" s="24" t="s">
        <v>132</v>
      </c>
      <c r="D47" s="4">
        <v>5</v>
      </c>
      <c r="E47" s="4" t="str" cm="1">
        <f t="array" ref="E47">toUnSign2(C47)</f>
        <v>[[Chienluocchuongtrinhduandeankehoachquyhoach]]</v>
      </c>
      <c r="F47" s="5" t="s">
        <v>71</v>
      </c>
      <c r="G47" s="4" t="s">
        <v>4</v>
      </c>
      <c r="H47" s="4" t="str" cm="1">
        <f t="array" ref="H47">G47&amp;CHAR(10)&amp;toUnSignArea(C47)&amp;CHAR(10)&amp;toUnSignUpload(C47)</f>
        <v>Văn bản, tài liệu chứng minh
[[area.Chienluocchuongtrinhduandeankehoachquyhoach]]
[[upload.Chienluocchuongtrinhduandeankehoachquyhoach]]</v>
      </c>
      <c r="I47" s="4" t="str" cm="1">
        <f t="array" ref="I47">toUnSignDiem(C47)</f>
        <v>[[diem.Chienluocchuongtrinhduandeankehoachquyhoach]]</v>
      </c>
    </row>
    <row r="48" spans="1:9" ht="112.5" x14ac:dyDescent="0.25">
      <c r="A48" s="23" t="s">
        <v>39</v>
      </c>
      <c r="B48" s="24" t="s">
        <v>40</v>
      </c>
      <c r="C48" s="24" t="s">
        <v>133</v>
      </c>
      <c r="D48" s="4">
        <v>5</v>
      </c>
      <c r="E48" s="4" t="str" cm="1">
        <f t="array" ref="E48">toUnSign2(C48)</f>
        <v>[[Thongtinvetochucbomayhanhchinhbandodiagioihanhchinh]]</v>
      </c>
      <c r="F48" s="5" t="s">
        <v>71</v>
      </c>
      <c r="G48" s="4" t="s">
        <v>4</v>
      </c>
      <c r="H48" s="4" t="str" cm="1">
        <f t="array" ref="H48">G48&amp;CHAR(10)&amp;toUnSignArea(C48)&amp;CHAR(10)&amp;toUnSignUpload(C48)</f>
        <v>Văn bản, tài liệu chứng minh
[[area.Thongtinvetochucbomayhanhchinhbandodiagioihanhchinh]]
[[upload.Thongtinvetochucbomayhanhchinhbandodiagioihanhchinh]]</v>
      </c>
      <c r="I48" s="4" t="str" cm="1">
        <f t="array" ref="I48">toUnSignDiem(C48)</f>
        <v>[[diem.Thongtinvetochucbomayhanhchinhbandodiagioihanhchinh]]</v>
      </c>
    </row>
    <row r="49" spans="1:9" ht="112.5" x14ac:dyDescent="0.25">
      <c r="A49" s="23" t="s">
        <v>41</v>
      </c>
      <c r="B49" s="24" t="s">
        <v>42</v>
      </c>
      <c r="C49" s="24" t="s">
        <v>134</v>
      </c>
      <c r="D49" s="4">
        <v>5</v>
      </c>
      <c r="E49" s="4" t="str" cm="1">
        <f t="array" ref="E49">toUnSign2(C49)</f>
        <v>[[Baocaotaichinhnamthongtinthongkevenganhlinhvucquanly]]</v>
      </c>
      <c r="F49" s="5" t="s">
        <v>71</v>
      </c>
      <c r="G49" s="4" t="s">
        <v>4</v>
      </c>
      <c r="H49" s="4" t="str" cm="1">
        <f t="array" ref="H49">G49&amp;CHAR(10)&amp;toUnSignArea(C49)&amp;CHAR(10)&amp;toUnSignUpload(C49)</f>
        <v>Văn bản, tài liệu chứng minh
[[area.Baocaotaichinhnamthongtinthongkevenganhlinhvucquanly]]
[[upload.Baocaotaichinhnamthongtinthongkevenganhlinhvucquanly]]</v>
      </c>
      <c r="I49" s="4" t="str" cm="1">
        <f t="array" ref="I49">toUnSignDiem(C49)</f>
        <v>[[diem.Baocaotaichinhnamthongtinthongkevenganhlinhvucquanly]]</v>
      </c>
    </row>
    <row r="50" spans="1:9" ht="93.75" x14ac:dyDescent="0.25">
      <c r="A50" s="23" t="s">
        <v>43</v>
      </c>
      <c r="B50" s="24" t="s">
        <v>44</v>
      </c>
      <c r="C50" s="24" t="s">
        <v>95</v>
      </c>
      <c r="D50" s="4">
        <v>5</v>
      </c>
      <c r="E50" s="4" t="str" cm="1">
        <f t="array" ref="E50">toUnSign2(C50)</f>
        <v>[[Hotrotimkiemlienketvaluutruthongtin]]</v>
      </c>
      <c r="F50" s="5" t="s">
        <v>71</v>
      </c>
      <c r="G50" s="4" t="s">
        <v>4</v>
      </c>
      <c r="H50" s="4" t="str" cm="1">
        <f t="array" ref="H50">G50&amp;CHAR(10)&amp;toUnSignArea(C50)&amp;CHAR(10)&amp;toUnSignUpload(C50)</f>
        <v>Văn bản, tài liệu chứng minh
[[area.Hotrotimkiemlienketvaluutruthongtin]]
[[upload.Hotrotimkiemlienketvaluutruthongtin]]</v>
      </c>
      <c r="I50" s="4" t="str" cm="1">
        <f t="array" ref="I50">toUnSignDiem(C50)</f>
        <v>[[diem.Hotrotimkiemlienketvaluutruthongtin]]</v>
      </c>
    </row>
    <row r="51" spans="1:9" ht="93.75" x14ac:dyDescent="0.25">
      <c r="A51" s="23" t="s">
        <v>45</v>
      </c>
      <c r="B51" s="24" t="s">
        <v>46</v>
      </c>
      <c r="C51" s="24" t="s">
        <v>46</v>
      </c>
      <c r="D51" s="4">
        <v>5</v>
      </c>
      <c r="E51" s="4" t="str" cm="1">
        <f t="array" ref="E51">toUnSign2(C51)</f>
        <v>[[Cungcapthongtinbangtiengnuocngoai]]</v>
      </c>
      <c r="F51" s="5" t="s">
        <v>71</v>
      </c>
      <c r="G51" s="4" t="s">
        <v>4</v>
      </c>
      <c r="H51" s="4" t="str" cm="1">
        <f t="array" ref="H51">G51&amp;CHAR(10)&amp;toUnSignArea(C51)&amp;CHAR(10)&amp;toUnSignUpload(C51)</f>
        <v>Văn bản, tài liệu chứng minh
[[area.Cungcapthongtinbangtiengnuocngoai]]
[[upload.Cungcapthongtinbangtiengnuocngoai]]</v>
      </c>
      <c r="I51" s="4" t="str" cm="1">
        <f t="array" ref="I51">toUnSignDiem(C51)</f>
        <v>[[diem.Cungcapthongtinbangtiengnuocngoai]]</v>
      </c>
    </row>
    <row r="52" spans="1:9" ht="93.75" x14ac:dyDescent="0.25">
      <c r="A52" s="4">
        <v>5.16</v>
      </c>
      <c r="B52" s="5" t="s">
        <v>47</v>
      </c>
      <c r="C52" s="5" t="s">
        <v>87</v>
      </c>
      <c r="D52" s="4">
        <v>10</v>
      </c>
      <c r="E52" s="4" t="str" cm="1">
        <f t="array" ref="E52">toUnSign2(C52)</f>
        <v>[[Congtrangthongtindientucochuyenmucchuyendoiso]]</v>
      </c>
      <c r="F52" s="8" t="s">
        <v>76</v>
      </c>
      <c r="G52" s="4" t="s">
        <v>4</v>
      </c>
      <c r="H52" s="4" t="str" cm="1">
        <f t="array" ref="H52">G52&amp;CHAR(10)&amp;toUnSignArea(C52)&amp;CHAR(10)&amp;toUnSignUpload(C52)</f>
        <v>Văn bản, tài liệu chứng minh
[[area.Congtrangthongtindientucochuyenmucchuyendoiso]]
[[upload.Congtrangthongtindientucochuyenmucchuyendoiso]]</v>
      </c>
      <c r="I52" s="4" t="str" cm="1">
        <f t="array" ref="I52">toUnSignDiem(C52)</f>
        <v>[[diem.Congtrangthongtindientucochuyenmucchuyendoiso]]</v>
      </c>
    </row>
    <row r="53" spans="1:9" ht="93.75" x14ac:dyDescent="0.25">
      <c r="A53" s="4">
        <v>5.17</v>
      </c>
      <c r="B53" s="5" t="s">
        <v>48</v>
      </c>
      <c r="C53" s="5" t="s">
        <v>88</v>
      </c>
      <c r="D53" s="4">
        <v>10</v>
      </c>
      <c r="E53" s="4" t="str" cm="1">
        <f t="array" ref="E53">toUnSign2(C53)</f>
        <v>[[CongtrangthongtindientuchuyendoisangcongngheIPv6]]</v>
      </c>
      <c r="F53" s="8" t="s">
        <v>77</v>
      </c>
      <c r="G53" s="4" t="s">
        <v>4</v>
      </c>
      <c r="H53" s="4" t="str" cm="1">
        <f t="array" ref="H53">G53&amp;CHAR(10)&amp;toUnSignArea(C53)&amp;CHAR(10)&amp;toUnSignUpload(C53)</f>
        <v>Văn bản, tài liệu chứng minh
[[area.CongtrangthongtindientuchuyendoisangcongngheIPv6]]
[[upload.CongtrangthongtindientuchuyendoisangcongngheIPv6]]</v>
      </c>
      <c r="I53" s="4" t="str" cm="1">
        <f t="array" ref="I53">toUnSignDiem(C53)</f>
        <v>[[diem.CongtrangthongtindientuchuyendoisangcongngheIPv6]]</v>
      </c>
    </row>
    <row r="54" spans="1:9" ht="93.75" x14ac:dyDescent="0.25">
      <c r="A54" s="4">
        <v>5.18</v>
      </c>
      <c r="B54" s="5" t="s">
        <v>49</v>
      </c>
      <c r="C54" s="5" t="s">
        <v>96</v>
      </c>
      <c r="D54" s="4">
        <v>10</v>
      </c>
      <c r="E54" s="4" t="str" cm="1">
        <f t="array" ref="E54">toUnSign2(C54)</f>
        <v>[[Thoigiancapnhatdangtaitinbai]]</v>
      </c>
      <c r="F54" s="8" t="s">
        <v>78</v>
      </c>
      <c r="G54" s="4" t="s">
        <v>4</v>
      </c>
      <c r="H54" s="4" t="str" cm="1">
        <f t="array" ref="H54">G54&amp;CHAR(10)&amp;toUnSignArea(C54)&amp;CHAR(10)&amp;toUnSignUpload(C54)</f>
        <v>Văn bản, tài liệu chứng minh
[[area.Thoigiancapnhatdangtaitinbai]]
[[upload.Thoigiancapnhatdangtaitinbai]]</v>
      </c>
      <c r="I54" s="4" t="str" cm="1">
        <f t="array" ref="I54">toUnSignDiem(C54)</f>
        <v>[[diem.Thoigiancapnhatdangtaitinbai]]</v>
      </c>
    </row>
    <row r="55" spans="1:9" ht="93.75" x14ac:dyDescent="0.25">
      <c r="A55" s="4">
        <v>5.19</v>
      </c>
      <c r="B55" s="5" t="s">
        <v>50</v>
      </c>
      <c r="C55" s="5" t="s">
        <v>89</v>
      </c>
      <c r="D55" s="17">
        <v>20</v>
      </c>
      <c r="E55" s="4" t="str" cm="1">
        <f t="array" ref="E55">toUnSignTyle(C55)</f>
        <v>[[tyle.TyledonvicapxatructhuoccoTrangthongtindientuhoactrangthanhphantrenCongTrangthongtindientucuahuyen]]</v>
      </c>
      <c r="F55" s="5" t="s">
        <v>109</v>
      </c>
      <c r="G55" s="18"/>
      <c r="H55" s="27"/>
      <c r="I55" s="4" t="str" cm="1">
        <f t="array" ref="I55">toUnSignDiem(C55)</f>
        <v>[[diem.TyledonvicapxatructhuoccoTrangthongtindientuhoactrangthanhphantrenCongTrangthongtindientucuahuyen]]</v>
      </c>
    </row>
    <row r="56" spans="1:9" ht="93.75" x14ac:dyDescent="0.25">
      <c r="A56" s="4" t="s">
        <v>10</v>
      </c>
      <c r="B56" s="5" t="s">
        <v>135</v>
      </c>
      <c r="C56" s="5" t="s">
        <v>138</v>
      </c>
      <c r="D56" s="17"/>
      <c r="E56" s="4" t="str" cm="1">
        <f t="array" ref="E56">toUnSign2(C56)</f>
        <v>[[TongsodonvicapxatructhuoccoTrangthongtindientu]]</v>
      </c>
      <c r="F56" s="5"/>
      <c r="G56" s="4" t="s">
        <v>4</v>
      </c>
      <c r="H56" s="4" t="str" cm="1">
        <f t="array" ref="H56">G56&amp;CHAR(10)&amp;toUnSignArea(C56)&amp;CHAR(10)&amp;toUnSignUpload(C56)</f>
        <v>Văn bản, tài liệu chứng minh
[[area.TongsodonvicapxatructhuoccoTrangthongtindientu]]
[[upload.TongsodonvicapxatructhuoccoTrangthongtindientu]]</v>
      </c>
      <c r="I56" s="4"/>
    </row>
    <row r="57" spans="1:9" x14ac:dyDescent="0.25">
      <c r="A57" s="4" t="s">
        <v>11</v>
      </c>
      <c r="B57" s="5" t="s">
        <v>136</v>
      </c>
      <c r="C57" s="30" t="s">
        <v>137</v>
      </c>
      <c r="D57" s="31"/>
      <c r="E57" s="31"/>
      <c r="F57" s="31"/>
      <c r="G57" s="31"/>
      <c r="H57" s="31"/>
      <c r="I57" s="32"/>
    </row>
    <row r="58" spans="1:9" ht="19.5" x14ac:dyDescent="0.25">
      <c r="A58" s="4"/>
      <c r="B58" s="6" t="s">
        <v>51</v>
      </c>
      <c r="C58" s="6" t="s">
        <v>51</v>
      </c>
      <c r="D58" s="22">
        <v>50</v>
      </c>
      <c r="E58" s="22"/>
      <c r="F58" s="5"/>
      <c r="G58" s="18"/>
      <c r="H58" s="27"/>
      <c r="I58" s="4"/>
    </row>
    <row r="59" spans="1:9" ht="93.75" x14ac:dyDescent="0.25">
      <c r="A59" s="25" t="s">
        <v>102</v>
      </c>
      <c r="B59" s="5" t="s">
        <v>52</v>
      </c>
      <c r="C59" s="5" t="s">
        <v>52</v>
      </c>
      <c r="D59" s="4">
        <v>50</v>
      </c>
      <c r="E59" s="4" t="str" cm="1">
        <f t="array" ref="E59">toUnSign2(C59)</f>
        <v>[[Soluongcuochoptructuyendodonvitochuctrongnam]]</v>
      </c>
      <c r="F59" s="8" t="s">
        <v>79</v>
      </c>
      <c r="G59" s="4" t="s">
        <v>4</v>
      </c>
      <c r="H59" s="4" t="str" cm="1">
        <f t="array" ref="H59">G59&amp;CHAR(10)&amp;toUnSignArea(C59)&amp;CHAR(10)&amp;toUnSignUpload(C59)</f>
        <v>Văn bản, tài liệu chứng minh
[[area.Soluongcuochoptructuyendodonvitochuctrongnam]]
[[upload.Soluongcuochoptructuyendodonvitochuctrongnam]]</v>
      </c>
      <c r="I59" s="4" t="str" cm="1">
        <f t="array" ref="I59">toUnSignDiem(C59)</f>
        <v>[[diem.Soluongcuochoptructuyendodonvitochuctrongnam]]</v>
      </c>
    </row>
    <row r="60" spans="1:9" ht="19.5" x14ac:dyDescent="0.25">
      <c r="A60" s="4"/>
      <c r="B60" s="6" t="s">
        <v>53</v>
      </c>
      <c r="C60" s="6" t="s">
        <v>53</v>
      </c>
      <c r="D60" s="22">
        <v>40</v>
      </c>
      <c r="E60" s="22"/>
      <c r="F60" s="5"/>
      <c r="G60" s="18"/>
      <c r="H60" s="27"/>
      <c r="I60" s="4"/>
    </row>
    <row r="61" spans="1:9" ht="93.75" x14ac:dyDescent="0.25">
      <c r="A61" s="4">
        <v>5.21</v>
      </c>
      <c r="B61" s="5" t="s">
        <v>54</v>
      </c>
      <c r="C61" s="5" t="s">
        <v>54</v>
      </c>
      <c r="D61" s="17">
        <v>40</v>
      </c>
      <c r="E61" s="4" t="str" cm="1">
        <f t="array" ref="E61">toUnSign2(C61)</f>
        <v>[[Thuchienbaocaotructuyenthongquahethongcuatinh]]</v>
      </c>
      <c r="F61" s="8" t="s">
        <v>80</v>
      </c>
      <c r="G61" s="4" t="s">
        <v>4</v>
      </c>
      <c r="H61" s="4" t="str" cm="1">
        <f t="array" ref="H61">G61&amp;CHAR(10)&amp;toUnSignArea(C61)&amp;CHAR(10)&amp;toUnSignUpload(C61)</f>
        <v>Văn bản, tài liệu chứng minh
[[area.Thuchienbaocaotructuyenthongquahethongcuatinh]]
[[upload.Thuchienbaocaotructuyenthongquahethongcuatinh]]</v>
      </c>
      <c r="I61" s="4" t="str" cm="1">
        <f t="array" ref="I61">toUnSignDiem(C61)</f>
        <v>[[diem.Thuchienbaocaotructuyenthongquahethongcuatinh]]</v>
      </c>
    </row>
    <row r="62" spans="1:9" ht="19.5" x14ac:dyDescent="0.25">
      <c r="A62" s="4"/>
      <c r="B62" s="6" t="s">
        <v>55</v>
      </c>
      <c r="C62" s="6" t="s">
        <v>55</v>
      </c>
      <c r="D62" s="22">
        <v>30</v>
      </c>
      <c r="E62" s="22"/>
      <c r="F62" s="5"/>
      <c r="G62" s="18"/>
      <c r="H62" s="27"/>
      <c r="I62" s="4"/>
    </row>
    <row r="63" spans="1:9" ht="56.25" x14ac:dyDescent="0.25">
      <c r="A63" s="4">
        <v>5.22</v>
      </c>
      <c r="B63" s="5" t="s">
        <v>56</v>
      </c>
      <c r="C63" s="5" t="s">
        <v>56</v>
      </c>
      <c r="D63" s="17">
        <v>10</v>
      </c>
      <c r="E63" s="4" t="str" cm="1">
        <f t="array" ref="E63">toUnSignTyle(C63)</f>
        <v>[[tyle.Tylecanbocongchucduoccaphopthudientucongvu]]</v>
      </c>
      <c r="F63" s="5" t="s">
        <v>109</v>
      </c>
      <c r="G63" s="18"/>
      <c r="H63" s="27"/>
      <c r="I63" s="4" t="str" cm="1">
        <f t="array" ref="I63">toUnSignDiem(C63)</f>
        <v>[[diem.Tylecanbocongchucduoccaphopthudientucongvu]]</v>
      </c>
    </row>
    <row r="64" spans="1:9" ht="93.75" x14ac:dyDescent="0.25">
      <c r="A64" s="4" t="s">
        <v>10</v>
      </c>
      <c r="B64" s="5" t="s">
        <v>139</v>
      </c>
      <c r="C64" s="5" t="s">
        <v>139</v>
      </c>
      <c r="D64" s="17"/>
      <c r="E64" s="4" t="str" cm="1">
        <f t="array" ref="E64">toUnSign2(C64)</f>
        <v>[[Tongsocanbocongchucduoccaphopthudientucongvu]]</v>
      </c>
      <c r="F64" s="5"/>
      <c r="G64" s="4" t="s">
        <v>4</v>
      </c>
      <c r="H64" s="4" t="str" cm="1">
        <f t="array" ref="H64">G64&amp;CHAR(10)&amp;toUnSignArea(C64)&amp;CHAR(10)&amp;toUnSignUpload(C64)</f>
        <v>Văn bản, tài liệu chứng minh
[[area.Tongsocanbocongchucduoccaphopthudientucongvu]]
[[upload.Tongsocanbocongchucduoccaphopthudientucongvu]]</v>
      </c>
      <c r="I64" s="4"/>
    </row>
    <row r="65" spans="1:9" x14ac:dyDescent="0.25">
      <c r="A65" s="4" t="s">
        <v>11</v>
      </c>
      <c r="B65" s="5" t="s">
        <v>140</v>
      </c>
      <c r="C65" s="30" t="s">
        <v>141</v>
      </c>
      <c r="D65" s="31"/>
      <c r="E65" s="31"/>
      <c r="F65" s="31"/>
      <c r="G65" s="31"/>
      <c r="H65" s="31"/>
      <c r="I65" s="32"/>
    </row>
    <row r="66" spans="1:9" ht="56.25" x14ac:dyDescent="0.25">
      <c r="A66" s="4">
        <v>5.23</v>
      </c>
      <c r="B66" s="5" t="s">
        <v>57</v>
      </c>
      <c r="C66" s="5" t="s">
        <v>57</v>
      </c>
      <c r="D66" s="17">
        <v>20</v>
      </c>
      <c r="E66" s="4" t="str" cm="1">
        <f t="array" ref="E66">toUnSignTyle(C66)</f>
        <v>[[tyle.Tylecanbocongchucsudungthudientucongvu]]</v>
      </c>
      <c r="F66" s="5" t="s">
        <v>109</v>
      </c>
      <c r="G66" s="18"/>
      <c r="H66" s="27"/>
      <c r="I66" s="4" t="str" cm="1">
        <f t="array" ref="I66">toUnSignDiem(C66)</f>
        <v>[[diem.Tylecanbocongchucsudungthudientucongvu]]</v>
      </c>
    </row>
    <row r="67" spans="1:9" ht="93.75" x14ac:dyDescent="0.25">
      <c r="A67" s="4" t="s">
        <v>10</v>
      </c>
      <c r="B67" s="5" t="s">
        <v>142</v>
      </c>
      <c r="C67" s="5" t="s">
        <v>142</v>
      </c>
      <c r="D67" s="17"/>
      <c r="E67" s="4" t="str" cm="1">
        <f t="array" ref="E67">toUnSign2(C67)</f>
        <v>[[Tongsocanbocongchucsudungthudientucongvu]]</v>
      </c>
      <c r="F67" s="5"/>
      <c r="G67" s="4" t="s">
        <v>4</v>
      </c>
      <c r="H67" s="4" t="str" cm="1">
        <f t="array" ref="H67">G67&amp;CHAR(10)&amp;toUnSignArea(C67)&amp;CHAR(10)&amp;toUnSignUpload(C67)</f>
        <v>Văn bản, tài liệu chứng minh
[[area.Tongsocanbocongchucsudungthudientucongvu]]
[[upload.Tongsocanbocongchucsudungthudientucongvu]]</v>
      </c>
      <c r="I67" s="4"/>
    </row>
    <row r="68" spans="1:9" x14ac:dyDescent="0.25">
      <c r="A68" s="4" t="s">
        <v>11</v>
      </c>
      <c r="B68" s="5" t="s">
        <v>140</v>
      </c>
      <c r="C68" s="30" t="s">
        <v>141</v>
      </c>
      <c r="D68" s="31"/>
      <c r="E68" s="31"/>
      <c r="F68" s="31"/>
      <c r="G68" s="31"/>
      <c r="H68" s="31"/>
      <c r="I68" s="32"/>
    </row>
    <row r="69" spans="1:9" ht="37.5" x14ac:dyDescent="0.25">
      <c r="A69" s="11"/>
      <c r="B69" s="6" t="s">
        <v>58</v>
      </c>
      <c r="C69" s="6" t="s">
        <v>58</v>
      </c>
      <c r="D69" s="22">
        <v>40</v>
      </c>
      <c r="E69" s="22"/>
      <c r="F69" s="5"/>
      <c r="G69" s="18"/>
      <c r="H69" s="27"/>
      <c r="I69" s="4"/>
    </row>
    <row r="70" spans="1:9" ht="93.75" x14ac:dyDescent="0.25">
      <c r="A70" s="4">
        <v>5.24</v>
      </c>
      <c r="B70" s="5" t="s">
        <v>59</v>
      </c>
      <c r="C70" s="5" t="s">
        <v>59</v>
      </c>
      <c r="D70" s="4">
        <v>10</v>
      </c>
      <c r="E70" s="4" t="str" cm="1">
        <f t="array" ref="E70">toUnSign2(C70)</f>
        <v>[[Phanmemquanlyhosocanbocongchuc]]</v>
      </c>
      <c r="F70" s="8" t="s">
        <v>81</v>
      </c>
      <c r="G70" s="4" t="s">
        <v>4</v>
      </c>
      <c r="H70" s="4" t="str" cm="1">
        <f t="array" ref="H70">G70&amp;CHAR(10)&amp;toUnSignArea(C70)&amp;CHAR(10)&amp;toUnSignUpload(C70)</f>
        <v>Văn bản, tài liệu chứng minh
[[area.Phanmemquanlyhosocanbocongchuc]]
[[upload.Phanmemquanlyhosocanbocongchuc]]</v>
      </c>
      <c r="I70" s="4" t="str" cm="1">
        <f t="array" ref="I70">toUnSignDiem(C70)</f>
        <v>[[diem.Phanmemquanlyhosocanbocongchuc]]</v>
      </c>
    </row>
    <row r="71" spans="1:9" ht="93.75" x14ac:dyDescent="0.25">
      <c r="A71" s="4">
        <v>5.25</v>
      </c>
      <c r="B71" s="5" t="s">
        <v>60</v>
      </c>
      <c r="C71" s="5" t="s">
        <v>97</v>
      </c>
      <c r="D71" s="4">
        <v>10</v>
      </c>
      <c r="E71" s="4" t="str" cm="1">
        <f t="array" ref="E71">toUnSign2(C71)</f>
        <v>[[Phanmemquanlydonthukhieunaivatocao]]</v>
      </c>
      <c r="F71" s="8" t="s">
        <v>82</v>
      </c>
      <c r="G71" s="4" t="s">
        <v>4</v>
      </c>
      <c r="H71" s="4" t="str" cm="1">
        <f t="array" ref="H71">G71&amp;CHAR(10)&amp;toUnSignArea(C71)&amp;CHAR(10)&amp;toUnSignUpload(C71)</f>
        <v>Văn bản, tài liệu chứng minh
[[area.Phanmemquanlydonthukhieunaivatocao]]
[[upload.Phanmemquanlydonthukhieunaivatocao]]</v>
      </c>
      <c r="I71" s="4" t="str" cm="1">
        <f t="array" ref="I71">toUnSignDiem(C71)</f>
        <v>[[diem.Phanmemquanlydonthukhieunaivatocao]]</v>
      </c>
    </row>
    <row r="72" spans="1:9" ht="93.75" x14ac:dyDescent="0.25">
      <c r="A72" s="4">
        <v>5.26</v>
      </c>
      <c r="B72" s="5" t="s">
        <v>99</v>
      </c>
      <c r="C72" s="5" t="s">
        <v>100</v>
      </c>
      <c r="D72" s="4">
        <v>20</v>
      </c>
      <c r="E72" s="4" t="str" cm="1">
        <f t="array" ref="E72">toUnSign2(C72)</f>
        <v>[[UngdungcacphanmemchuyennganhkhacLietkeungdung]]</v>
      </c>
      <c r="F72" s="8" t="s">
        <v>98</v>
      </c>
      <c r="G72" s="4" t="s">
        <v>4</v>
      </c>
      <c r="H72" s="4" t="str" cm="1">
        <f t="array" ref="H72">G72&amp;CHAR(10)&amp;toUnSignArea(C72)&amp;CHAR(10)&amp;toUnSignUpload(C72)</f>
        <v>Văn bản, tài liệu chứng minh
[[area.UngdungcacphanmemchuyennganhkhacLietkeungdung]]
[[upload.UngdungcacphanmemchuyennganhkhacLietkeungdung]]</v>
      </c>
      <c r="I72" s="4" t="str" cm="1">
        <f t="array" ref="I72">toUnSignDiem(C72)</f>
        <v>[[diem.UngdungcacphanmemchuyennganhkhacLietkeungdung]]</v>
      </c>
    </row>
    <row r="73" spans="1:9" x14ac:dyDescent="0.25">
      <c r="A73" s="4"/>
      <c r="B73" s="6" t="s">
        <v>61</v>
      </c>
      <c r="C73" s="6" t="s">
        <v>61</v>
      </c>
      <c r="D73" s="11">
        <v>30</v>
      </c>
      <c r="E73" s="11"/>
      <c r="F73" s="5"/>
      <c r="G73" s="18"/>
      <c r="H73" s="27"/>
      <c r="I73" s="4"/>
    </row>
    <row r="74" spans="1:9" ht="75" x14ac:dyDescent="0.25">
      <c r="A74" s="4">
        <v>5.27</v>
      </c>
      <c r="B74" s="5" t="s">
        <v>62</v>
      </c>
      <c r="C74" s="5" t="s">
        <v>90</v>
      </c>
      <c r="D74" s="4">
        <v>10</v>
      </c>
      <c r="E74" s="4" t="str" cm="1">
        <f t="array" ref="E74">toUnSignTyle(C74)</f>
        <v>[[tyle.Tylehethongtruyenthanhcaphuyenvacapxaungdungcongnghethongtinvienthong]]</v>
      </c>
      <c r="F74" s="5" t="s">
        <v>109</v>
      </c>
      <c r="G74" s="18"/>
      <c r="H74" s="27"/>
      <c r="I74" s="4" t="str" cm="1">
        <f t="array" ref="I74">toUnSignDiem(C74)</f>
        <v>[[diem.Tylehethongtruyenthanhcaphuyenvacapxaungdungcongnghethongtinvienthong]]</v>
      </c>
    </row>
    <row r="75" spans="1:9" ht="131.25" x14ac:dyDescent="0.25">
      <c r="A75" s="4" t="s">
        <v>10</v>
      </c>
      <c r="B75" s="5" t="s">
        <v>143</v>
      </c>
      <c r="C75" s="5" t="s">
        <v>145</v>
      </c>
      <c r="D75" s="4"/>
      <c r="E75" s="4" t="str" cm="1">
        <f t="array" ref="E75">toUnSign2(C75)</f>
        <v>[[Tongsohethongtruyenthanhcaphuyenvacapxaungdungcongnghethongtinvienthong]]</v>
      </c>
      <c r="F75" s="5"/>
      <c r="G75" s="4" t="s">
        <v>4</v>
      </c>
      <c r="H75" s="4" t="str" cm="1">
        <f t="array" ref="H75">G75&amp;CHAR(10)&amp;toUnSignArea(C75)&amp;CHAR(10)&amp;toUnSignUpload(C75)</f>
        <v>Văn bản, tài liệu chứng minh
[[area.Tongsohethongtruyenthanhcaphuyenvacapxaungdungcongnghethongtinvienthong]]
[[upload.Tongsohethongtruyenthanhcaphuyenvacapxaungdungcongnghethongtinvienthong]]</v>
      </c>
      <c r="I75" s="4"/>
    </row>
    <row r="76" spans="1:9" ht="93.75" x14ac:dyDescent="0.25">
      <c r="A76" s="4" t="s">
        <v>11</v>
      </c>
      <c r="B76" s="5" t="s">
        <v>144</v>
      </c>
      <c r="C76" s="5" t="s">
        <v>144</v>
      </c>
      <c r="D76" s="4"/>
      <c r="E76" s="4" t="str" cm="1">
        <f t="array" ref="E76">toUnSign2(C76)</f>
        <v>[[Tongsohethongtruyenthanhcaphuyenvacapxa]]</v>
      </c>
      <c r="F76" s="4"/>
      <c r="G76" s="4" t="s">
        <v>4</v>
      </c>
      <c r="H76" s="4" t="str" cm="1">
        <f t="array" ref="H76">G76&amp;CHAR(10)&amp;toUnSignArea(C76)&amp;CHAR(10)&amp;toUnSignUpload(C76)</f>
        <v>Văn bản, tài liệu chứng minh
[[area.Tongsohethongtruyenthanhcaphuyenvacapxa]]
[[upload.Tongsohethongtruyenthanhcaphuyenvacapxa]]</v>
      </c>
      <c r="I76" s="4"/>
    </row>
    <row r="77" spans="1:9" ht="93.75" x14ac:dyDescent="0.25">
      <c r="A77" s="4">
        <v>5.28</v>
      </c>
      <c r="B77" s="5" t="s">
        <v>63</v>
      </c>
      <c r="C77" s="5" t="s">
        <v>146</v>
      </c>
      <c r="D77" s="4">
        <v>10</v>
      </c>
      <c r="E77" s="4" t="str" cm="1">
        <f t="array" ref="E77">toUnSign2(C77)</f>
        <v>[[Hethongtruyenthanhcaphuyen]]</v>
      </c>
      <c r="F77" s="8" t="s">
        <v>82</v>
      </c>
      <c r="G77" s="4" t="s">
        <v>4</v>
      </c>
      <c r="H77" s="4" t="str" cm="1">
        <f t="array" ref="H77">G77&amp;CHAR(10)&amp;toUnSignArea(C77)&amp;CHAR(10)&amp;toUnSignUpload(C77)</f>
        <v>Văn bản, tài liệu chứng minh
[[area.Hethongtruyenthanhcaphuyen]]
[[upload.Hethongtruyenthanhcaphuyen]]</v>
      </c>
      <c r="I77" s="4" t="str" cm="1">
        <f t="array" ref="I77">toUnSignDiem(C77)</f>
        <v>[[diem.Hethongtruyenthanhcaphuyen]]</v>
      </c>
    </row>
    <row r="78" spans="1:9" ht="93.75" x14ac:dyDescent="0.25">
      <c r="A78" s="4">
        <v>5.29</v>
      </c>
      <c r="B78" s="5" t="s">
        <v>64</v>
      </c>
      <c r="C78" s="5" t="s">
        <v>147</v>
      </c>
      <c r="D78" s="4">
        <v>10</v>
      </c>
      <c r="E78" s="4" t="str" cm="1">
        <f t="array" ref="E78">toUnSign2(C78)</f>
        <v>[[Tansuathethongtruyenthanhcaphuyen]]</v>
      </c>
      <c r="F78" s="8" t="s">
        <v>83</v>
      </c>
      <c r="G78" s="4" t="s">
        <v>4</v>
      </c>
      <c r="H78" s="4" t="str" cm="1">
        <f t="array" ref="H78">G78&amp;CHAR(10)&amp;toUnSignArea(C78)&amp;CHAR(10)&amp;toUnSignUpload(C78)</f>
        <v>Văn bản, tài liệu chứng minh
[[area.Tansuathethongtruyenthanhcaphuyen]]
[[upload.Tansuathethongtruyenthanhcaphuyen]]</v>
      </c>
      <c r="I78" s="4" t="str" cm="1">
        <f t="array" ref="I78">toUnSignDiem(C78)</f>
        <v>[[diem.Tansuathethongtruyenthanhcaphuyen]]</v>
      </c>
    </row>
    <row r="79" spans="1:9" ht="37.5" x14ac:dyDescent="0.3">
      <c r="A79" s="4"/>
      <c r="B79" s="6" t="s">
        <v>65</v>
      </c>
      <c r="C79" s="6" t="s">
        <v>65</v>
      </c>
      <c r="D79" s="22">
        <v>40</v>
      </c>
      <c r="E79" s="22"/>
      <c r="F79" s="19"/>
      <c r="G79" s="18"/>
      <c r="H79" s="27"/>
      <c r="I79" s="4"/>
    </row>
    <row r="80" spans="1:9" ht="150" x14ac:dyDescent="0.25">
      <c r="A80" s="25" t="s">
        <v>149</v>
      </c>
      <c r="B80" s="5" t="s">
        <v>84</v>
      </c>
      <c r="C80" s="5" t="s">
        <v>148</v>
      </c>
      <c r="D80" s="4">
        <v>40</v>
      </c>
      <c r="E80" s="4" t="str" cm="1">
        <f t="array" ref="E80">toUnSign2(C80)</f>
        <v>[[Tongchingansachnhanuocchochuyendoisotrongnam]]</v>
      </c>
      <c r="F80" s="8" t="s">
        <v>85</v>
      </c>
      <c r="G80" s="4" t="s">
        <v>4</v>
      </c>
      <c r="H80" s="4" t="str" cm="1">
        <f t="array" ref="H80">G80&amp;CHAR(10)&amp;toUnSignArea(C80)&amp;CHAR(10)&amp;toUnSignUpload(C80)</f>
        <v>Văn bản, tài liệu chứng minh
[[area.Tongchingansachnhanuocchochuyendoisotrongnam]]
[[upload.Tongchingansachnhanuocchochuyendoisotrongnam]]</v>
      </c>
      <c r="I80" s="4" t="str" cm="1">
        <f t="array" ref="I80">toUnSignDiem(C80)</f>
        <v>[[diem.Tongchingansachnhanuocchochuyendoisotrongnam]]</v>
      </c>
    </row>
  </sheetData>
  <mergeCells count="11">
    <mergeCell ref="C57:I57"/>
    <mergeCell ref="C65:I65"/>
    <mergeCell ref="C68:I68"/>
    <mergeCell ref="A1:I1"/>
    <mergeCell ref="C18:I18"/>
    <mergeCell ref="C21:I21"/>
    <mergeCell ref="C24:I24"/>
    <mergeCell ref="C27:I27"/>
    <mergeCell ref="C32:I32"/>
    <mergeCell ref="C35:I35"/>
    <mergeCell ref="C38:I3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Thể chế số</vt:lpstr>
      <vt:lpstr>Hoạt động chính quyền số</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dc:creator>
  <cp:lastModifiedBy>HieuCMS</cp:lastModifiedBy>
  <cp:lastPrinted>2022-07-21T07:22:25Z</cp:lastPrinted>
  <dcterms:created xsi:type="dcterms:W3CDTF">2021-08-20T14:19:18Z</dcterms:created>
  <dcterms:modified xsi:type="dcterms:W3CDTF">2024-12-11T12:14:42Z</dcterms:modified>
</cp:coreProperties>
</file>